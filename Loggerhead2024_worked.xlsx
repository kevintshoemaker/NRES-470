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shoemaker\Downloads\"/>
    </mc:Choice>
  </mc:AlternateContent>
  <xr:revisionPtr revIDLastSave="0" documentId="13_ncr:1_{5C4E2A9D-1EA4-4C32-AB89-E7B410D2E12D}" xr6:coauthVersionLast="47" xr6:coauthVersionMax="47" xr10:uidLastSave="{00000000-0000-0000-0000-000000000000}"/>
  <bookViews>
    <workbookView xWindow="28680" yWindow="-1620" windowWidth="29040" windowHeight="15720" xr2:uid="{00000000-000D-0000-FFFF-FFFF00000000}"/>
  </bookViews>
  <sheets>
    <sheet name="Loggerhea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9" i="3" l="1"/>
  <c r="C9" i="3"/>
  <c r="N9" i="3"/>
  <c r="G8" i="3"/>
  <c r="G9" i="3" s="1"/>
  <c r="F8" i="3"/>
  <c r="F7" i="3"/>
  <c r="F9" i="3" s="1"/>
  <c r="T7" i="3"/>
  <c r="E7" i="3"/>
  <c r="E6" i="3"/>
  <c r="E9" i="3" s="1"/>
  <c r="T5" i="3"/>
  <c r="P9" i="3"/>
  <c r="Q9" i="3"/>
  <c r="R9" i="3"/>
  <c r="O9" i="3"/>
  <c r="C5" i="3"/>
  <c r="D5" i="3"/>
  <c r="E5" i="3"/>
  <c r="F5" i="3"/>
  <c r="G5" i="3"/>
  <c r="C6" i="3"/>
  <c r="D6" i="3"/>
  <c r="F6" i="3"/>
  <c r="G6" i="3"/>
  <c r="C7" i="3"/>
  <c r="D7" i="3"/>
  <c r="G7" i="3"/>
  <c r="C8" i="3"/>
  <c r="D8" i="3"/>
  <c r="E8" i="3"/>
  <c r="D4" i="3"/>
  <c r="E4" i="3"/>
  <c r="F4" i="3"/>
  <c r="C4" i="3"/>
  <c r="R4" i="3"/>
  <c r="G4" i="3" s="1"/>
  <c r="I12" i="3" l="1"/>
  <c r="G13" i="3"/>
  <c r="F13" i="3"/>
  <c r="E13" i="3"/>
  <c r="D13" i="3"/>
  <c r="G14" i="3" l="1"/>
  <c r="C15" i="3" s="1"/>
  <c r="E14" i="3"/>
  <c r="F14" i="3"/>
  <c r="C14" i="3"/>
  <c r="C13" i="3"/>
  <c r="G15" i="3" l="1"/>
  <c r="C16" i="3" s="1"/>
  <c r="F15" i="3"/>
  <c r="D14" i="3"/>
  <c r="E15" i="3" s="1"/>
  <c r="I13" i="3"/>
  <c r="G16" i="3" l="1"/>
  <c r="C17" i="3" s="1"/>
  <c r="I14" i="3"/>
  <c r="F16" i="3"/>
  <c r="D15" i="3"/>
  <c r="I15" i="3" s="1"/>
  <c r="G17" i="3" l="1"/>
  <c r="C18" i="3" s="1"/>
  <c r="D16" i="3"/>
  <c r="E16" i="3"/>
  <c r="F17" i="3" s="1"/>
  <c r="G18" i="3" l="1"/>
  <c r="C19" i="3" s="1"/>
  <c r="E17" i="3"/>
  <c r="F18" i="3" s="1"/>
  <c r="D17" i="3"/>
  <c r="I16" i="3"/>
  <c r="G19" i="3" l="1"/>
  <c r="C20" i="3" s="1"/>
  <c r="I17" i="3"/>
  <c r="D18" i="3"/>
  <c r="E18" i="3"/>
  <c r="F19" i="3" s="1"/>
  <c r="G20" i="3" l="1"/>
  <c r="C21" i="3" s="1"/>
  <c r="E19" i="3"/>
  <c r="F20" i="3" s="1"/>
  <c r="I18" i="3"/>
  <c r="D19" i="3"/>
  <c r="G21" i="3" l="1"/>
  <c r="C22" i="3" s="1"/>
  <c r="E20" i="3"/>
  <c r="F21" i="3" s="1"/>
  <c r="I19" i="3"/>
  <c r="D20" i="3"/>
  <c r="D21" i="3" s="1"/>
  <c r="G22" i="3" l="1"/>
  <c r="C23" i="3" s="1"/>
  <c r="E21" i="3"/>
  <c r="F22" i="3" s="1"/>
  <c r="I20" i="3"/>
  <c r="D22" i="3"/>
  <c r="G23" i="3" l="1"/>
  <c r="C24" i="3" s="1"/>
  <c r="E22" i="3"/>
  <c r="F23" i="3" s="1"/>
  <c r="I21" i="3"/>
  <c r="D23" i="3"/>
  <c r="G24" i="3" l="1"/>
  <c r="C25" i="3" s="1"/>
  <c r="I22" i="3"/>
  <c r="E23" i="3"/>
  <c r="F24" i="3" s="1"/>
  <c r="D24" i="3"/>
  <c r="I23" i="3"/>
  <c r="G25" i="3" l="1"/>
  <c r="C26" i="3" s="1"/>
  <c r="E24" i="3"/>
  <c r="F25" i="3" s="1"/>
  <c r="G26" i="3" s="1"/>
  <c r="C27" i="3" s="1"/>
  <c r="D25" i="3"/>
  <c r="I24" i="3" l="1"/>
  <c r="E25" i="3"/>
  <c r="F26" i="3" s="1"/>
  <c r="G27" i="3" s="1"/>
  <c r="C28" i="3" s="1"/>
  <c r="D26" i="3"/>
  <c r="I25" i="3" l="1"/>
  <c r="E26" i="3"/>
  <c r="F27" i="3" s="1"/>
  <c r="G28" i="3" s="1"/>
  <c r="C29" i="3" s="1"/>
  <c r="E27" i="3"/>
  <c r="D27" i="3"/>
  <c r="I26" i="3"/>
  <c r="F28" i="3" l="1"/>
  <c r="G29" i="3" s="1"/>
  <c r="C30" i="3" s="1"/>
  <c r="E28" i="3"/>
  <c r="D28" i="3"/>
  <c r="I27" i="3"/>
  <c r="F29" i="3" l="1"/>
  <c r="G30" i="3" s="1"/>
  <c r="C31" i="3" s="1"/>
  <c r="E29" i="3"/>
  <c r="F30" i="3" s="1"/>
  <c r="G31" i="3" s="1"/>
  <c r="C32" i="3" s="1"/>
  <c r="I28" i="3"/>
  <c r="D29" i="3"/>
  <c r="E30" i="3" l="1"/>
  <c r="F31" i="3" s="1"/>
  <c r="G32" i="3" s="1"/>
  <c r="C33" i="3" s="1"/>
  <c r="D30" i="3"/>
  <c r="I29" i="3"/>
  <c r="E31" i="3" l="1"/>
  <c r="F32" i="3" s="1"/>
  <c r="G33" i="3" s="1"/>
  <c r="C34" i="3" s="1"/>
  <c r="D31" i="3"/>
  <c r="I30" i="3"/>
  <c r="E32" i="3" l="1"/>
  <c r="F33" i="3" s="1"/>
  <c r="G34" i="3" s="1"/>
  <c r="C35" i="3" s="1"/>
  <c r="I31" i="3"/>
  <c r="D32" i="3"/>
  <c r="D33" i="3" l="1"/>
  <c r="E33" i="3"/>
  <c r="F34" i="3" s="1"/>
  <c r="G35" i="3" s="1"/>
  <c r="C36" i="3" s="1"/>
  <c r="I32" i="3"/>
  <c r="D34" i="3" l="1"/>
  <c r="E34" i="3"/>
  <c r="F35" i="3" s="1"/>
  <c r="G36" i="3" s="1"/>
  <c r="C37" i="3" s="1"/>
  <c r="I33" i="3"/>
  <c r="E35" i="3" l="1"/>
  <c r="F36" i="3" s="1"/>
  <c r="G37" i="3" s="1"/>
  <c r="C38" i="3" s="1"/>
  <c r="D35" i="3"/>
  <c r="I34" i="3"/>
  <c r="D36" i="3" l="1"/>
  <c r="E36" i="3"/>
  <c r="F37" i="3" s="1"/>
  <c r="G38" i="3" s="1"/>
  <c r="C39" i="3" s="1"/>
  <c r="I35" i="3"/>
  <c r="E37" i="3" l="1"/>
  <c r="F38" i="3" s="1"/>
  <c r="G39" i="3" s="1"/>
  <c r="C40" i="3" s="1"/>
  <c r="D37" i="3"/>
  <c r="I36" i="3"/>
  <c r="E38" i="3" l="1"/>
  <c r="F39" i="3" s="1"/>
  <c r="G40" i="3" s="1"/>
  <c r="C41" i="3" s="1"/>
  <c r="I37" i="3"/>
  <c r="D38" i="3"/>
  <c r="E39" i="3" l="1"/>
  <c r="F40" i="3" s="1"/>
  <c r="G41" i="3" s="1"/>
  <c r="C42" i="3" s="1"/>
  <c r="I38" i="3"/>
  <c r="D39" i="3"/>
  <c r="D40" i="3" l="1"/>
  <c r="E40" i="3"/>
  <c r="F41" i="3" s="1"/>
  <c r="G42" i="3" s="1"/>
  <c r="C43" i="3" s="1"/>
  <c r="I39" i="3"/>
  <c r="E41" i="3" l="1"/>
  <c r="F42" i="3" s="1"/>
  <c r="G43" i="3" s="1"/>
  <c r="C44" i="3" s="1"/>
  <c r="D41" i="3"/>
  <c r="I40" i="3"/>
  <c r="E42" i="3" l="1"/>
  <c r="F43" i="3" s="1"/>
  <c r="G44" i="3" s="1"/>
  <c r="C45" i="3" s="1"/>
  <c r="D42" i="3"/>
  <c r="I41" i="3"/>
  <c r="D43" i="3" l="1"/>
  <c r="E43" i="3"/>
  <c r="F44" i="3" s="1"/>
  <c r="G45" i="3" s="1"/>
  <c r="C46" i="3" s="1"/>
  <c r="I42" i="3"/>
  <c r="E44" i="3" l="1"/>
  <c r="F45" i="3" s="1"/>
  <c r="G46" i="3" s="1"/>
  <c r="C47" i="3" s="1"/>
  <c r="D44" i="3"/>
  <c r="I43" i="3"/>
  <c r="E45" i="3" l="1"/>
  <c r="F46" i="3" s="1"/>
  <c r="G47" i="3" s="1"/>
  <c r="C48" i="3" s="1"/>
  <c r="D45" i="3"/>
  <c r="I44" i="3"/>
  <c r="E46" i="3" l="1"/>
  <c r="F47" i="3" s="1"/>
  <c r="G48" i="3" s="1"/>
  <c r="C49" i="3" s="1"/>
  <c r="D46" i="3"/>
  <c r="I45" i="3"/>
  <c r="E47" i="3" l="1"/>
  <c r="F48" i="3" s="1"/>
  <c r="G49" i="3" s="1"/>
  <c r="C50" i="3" s="1"/>
  <c r="D47" i="3"/>
  <c r="I46" i="3"/>
  <c r="E48" i="3" l="1"/>
  <c r="F49" i="3" s="1"/>
  <c r="G50" i="3" s="1"/>
  <c r="C51" i="3" s="1"/>
  <c r="D48" i="3"/>
  <c r="I47" i="3"/>
  <c r="E49" i="3" l="1"/>
  <c r="F50" i="3" s="1"/>
  <c r="G51" i="3" s="1"/>
  <c r="C52" i="3" s="1"/>
  <c r="D49" i="3"/>
  <c r="I48" i="3"/>
  <c r="E50" i="3" l="1"/>
  <c r="F51" i="3" s="1"/>
  <c r="G52" i="3" s="1"/>
  <c r="C53" i="3" s="1"/>
  <c r="D50" i="3"/>
  <c r="I49" i="3"/>
  <c r="E51" i="3" l="1"/>
  <c r="F52" i="3" s="1"/>
  <c r="G53" i="3" s="1"/>
  <c r="C54" i="3" s="1"/>
  <c r="D51" i="3"/>
  <c r="I50" i="3"/>
  <c r="E52" i="3" l="1"/>
  <c r="F53" i="3" s="1"/>
  <c r="G54" i="3" s="1"/>
  <c r="C55" i="3" s="1"/>
  <c r="D52" i="3"/>
  <c r="I51" i="3"/>
  <c r="E53" i="3" l="1"/>
  <c r="F54" i="3" s="1"/>
  <c r="G55" i="3" s="1"/>
  <c r="C56" i="3" s="1"/>
  <c r="D53" i="3"/>
  <c r="I52" i="3"/>
  <c r="E54" i="3" l="1"/>
  <c r="F55" i="3" s="1"/>
  <c r="G56" i="3" s="1"/>
  <c r="C57" i="3" s="1"/>
  <c r="D54" i="3"/>
  <c r="I53" i="3"/>
  <c r="E55" i="3" l="1"/>
  <c r="F56" i="3" s="1"/>
  <c r="G57" i="3" s="1"/>
  <c r="C58" i="3" s="1"/>
  <c r="D55" i="3"/>
  <c r="I54" i="3"/>
  <c r="E56" i="3" l="1"/>
  <c r="F57" i="3" s="1"/>
  <c r="G58" i="3" s="1"/>
  <c r="C59" i="3" s="1"/>
  <c r="D56" i="3"/>
  <c r="I55" i="3"/>
  <c r="E57" i="3" l="1"/>
  <c r="F58" i="3" s="1"/>
  <c r="G59" i="3" s="1"/>
  <c r="C60" i="3" s="1"/>
  <c r="D57" i="3"/>
  <c r="I56" i="3"/>
  <c r="E58" i="3" l="1"/>
  <c r="F59" i="3" s="1"/>
  <c r="G60" i="3" s="1"/>
  <c r="C61" i="3" s="1"/>
  <c r="D58" i="3"/>
  <c r="I57" i="3"/>
  <c r="E59" i="3" l="1"/>
  <c r="F60" i="3" s="1"/>
  <c r="G61" i="3" s="1"/>
  <c r="C62" i="3" s="1"/>
  <c r="D59" i="3"/>
  <c r="I58" i="3"/>
  <c r="D60" i="3" l="1"/>
  <c r="E60" i="3"/>
  <c r="F61" i="3" s="1"/>
  <c r="G62" i="3" s="1"/>
  <c r="C63" i="3" s="1"/>
  <c r="I59" i="3"/>
  <c r="E61" i="3" l="1"/>
  <c r="F62" i="3" s="1"/>
  <c r="G63" i="3" s="1"/>
  <c r="C64" i="3" s="1"/>
  <c r="D61" i="3"/>
  <c r="I60" i="3"/>
  <c r="E62" i="3" l="1"/>
  <c r="F63" i="3" s="1"/>
  <c r="G64" i="3" s="1"/>
  <c r="C65" i="3" s="1"/>
  <c r="D62" i="3"/>
  <c r="I61" i="3"/>
  <c r="E63" i="3" l="1"/>
  <c r="F64" i="3" s="1"/>
  <c r="G65" i="3" s="1"/>
  <c r="C66" i="3" s="1"/>
  <c r="D63" i="3"/>
  <c r="I62" i="3"/>
  <c r="E64" i="3" l="1"/>
  <c r="F65" i="3" s="1"/>
  <c r="G66" i="3" s="1"/>
  <c r="C67" i="3" s="1"/>
  <c r="D64" i="3"/>
  <c r="I63" i="3"/>
  <c r="E65" i="3" l="1"/>
  <c r="F66" i="3" s="1"/>
  <c r="G67" i="3" s="1"/>
  <c r="C68" i="3" s="1"/>
  <c r="D65" i="3"/>
  <c r="I64" i="3"/>
  <c r="E66" i="3" l="1"/>
  <c r="F67" i="3" s="1"/>
  <c r="G68" i="3" s="1"/>
  <c r="C69" i="3" s="1"/>
  <c r="D66" i="3"/>
  <c r="I65" i="3"/>
  <c r="E67" i="3" l="1"/>
  <c r="F68" i="3" s="1"/>
  <c r="G69" i="3" s="1"/>
  <c r="C70" i="3" s="1"/>
  <c r="D67" i="3"/>
  <c r="I66" i="3"/>
  <c r="D68" i="3" l="1"/>
  <c r="E68" i="3"/>
  <c r="F69" i="3" s="1"/>
  <c r="G70" i="3" s="1"/>
  <c r="C71" i="3" s="1"/>
  <c r="I67" i="3"/>
  <c r="E69" i="3" l="1"/>
  <c r="F70" i="3" s="1"/>
  <c r="G71" i="3" s="1"/>
  <c r="C72" i="3" s="1"/>
  <c r="D69" i="3"/>
  <c r="I68" i="3"/>
  <c r="E70" i="3" l="1"/>
  <c r="F71" i="3" s="1"/>
  <c r="G72" i="3" s="1"/>
  <c r="C73" i="3" s="1"/>
  <c r="D70" i="3"/>
  <c r="I69" i="3"/>
  <c r="D71" i="3" l="1"/>
  <c r="E71" i="3"/>
  <c r="F72" i="3" s="1"/>
  <c r="G73" i="3" s="1"/>
  <c r="C74" i="3" s="1"/>
  <c r="I70" i="3"/>
  <c r="D72" i="3" l="1"/>
  <c r="E72" i="3"/>
  <c r="F73" i="3" s="1"/>
  <c r="G74" i="3" s="1"/>
  <c r="C75" i="3" s="1"/>
  <c r="I71" i="3"/>
  <c r="E73" i="3" l="1"/>
  <c r="F74" i="3" s="1"/>
  <c r="G75" i="3" s="1"/>
  <c r="C76" i="3" s="1"/>
  <c r="D73" i="3"/>
  <c r="I72" i="3"/>
  <c r="D74" i="3" l="1"/>
  <c r="E74" i="3"/>
  <c r="F75" i="3" s="1"/>
  <c r="G76" i="3" s="1"/>
  <c r="C77" i="3" s="1"/>
  <c r="I73" i="3"/>
  <c r="E75" i="3" l="1"/>
  <c r="F76" i="3" s="1"/>
  <c r="G77" i="3" s="1"/>
  <c r="C78" i="3" s="1"/>
  <c r="D75" i="3"/>
  <c r="I74" i="3"/>
  <c r="D76" i="3" l="1"/>
  <c r="E76" i="3"/>
  <c r="F77" i="3" s="1"/>
  <c r="G78" i="3" s="1"/>
  <c r="C79" i="3" s="1"/>
  <c r="I75" i="3"/>
  <c r="E77" i="3" l="1"/>
  <c r="F78" i="3" s="1"/>
  <c r="G79" i="3" s="1"/>
  <c r="C80" i="3" s="1"/>
  <c r="D77" i="3"/>
  <c r="I76" i="3"/>
  <c r="E78" i="3" l="1"/>
  <c r="F79" i="3" s="1"/>
  <c r="G80" i="3" s="1"/>
  <c r="C81" i="3" s="1"/>
  <c r="D78" i="3"/>
  <c r="I77" i="3"/>
  <c r="E79" i="3" l="1"/>
  <c r="F80" i="3" s="1"/>
  <c r="G81" i="3" s="1"/>
  <c r="C82" i="3" s="1"/>
  <c r="D79" i="3"/>
  <c r="I78" i="3"/>
  <c r="E80" i="3" l="1"/>
  <c r="F81" i="3" s="1"/>
  <c r="G82" i="3" s="1"/>
  <c r="C83" i="3" s="1"/>
  <c r="D80" i="3"/>
  <c r="I79" i="3"/>
  <c r="E81" i="3" l="1"/>
  <c r="F82" i="3" s="1"/>
  <c r="G83" i="3" s="1"/>
  <c r="C84" i="3" s="1"/>
  <c r="D81" i="3"/>
  <c r="I80" i="3"/>
  <c r="D82" i="3" l="1"/>
  <c r="E82" i="3"/>
  <c r="F83" i="3" s="1"/>
  <c r="G84" i="3" s="1"/>
  <c r="C85" i="3" s="1"/>
  <c r="I81" i="3"/>
  <c r="E83" i="3" l="1"/>
  <c r="F84" i="3" s="1"/>
  <c r="G85" i="3" s="1"/>
  <c r="C86" i="3" s="1"/>
  <c r="D83" i="3"/>
  <c r="I82" i="3"/>
  <c r="D84" i="3" l="1"/>
  <c r="E84" i="3"/>
  <c r="F85" i="3" s="1"/>
  <c r="G86" i="3" s="1"/>
  <c r="C87" i="3" s="1"/>
  <c r="I83" i="3"/>
  <c r="D85" i="3" l="1"/>
  <c r="E85" i="3"/>
  <c r="F86" i="3" s="1"/>
  <c r="G87" i="3" s="1"/>
  <c r="C88" i="3" s="1"/>
  <c r="I84" i="3"/>
  <c r="E86" i="3" l="1"/>
  <c r="F87" i="3" s="1"/>
  <c r="G88" i="3" s="1"/>
  <c r="C89" i="3" s="1"/>
  <c r="D86" i="3"/>
  <c r="I85" i="3"/>
  <c r="D87" i="3" l="1"/>
  <c r="E87" i="3"/>
  <c r="F88" i="3" s="1"/>
  <c r="G89" i="3" s="1"/>
  <c r="C90" i="3" s="1"/>
  <c r="I86" i="3"/>
  <c r="E88" i="3" l="1"/>
  <c r="F89" i="3" s="1"/>
  <c r="G90" i="3" s="1"/>
  <c r="C91" i="3" s="1"/>
  <c r="D88" i="3"/>
  <c r="I87" i="3"/>
  <c r="D89" i="3" l="1"/>
  <c r="E89" i="3"/>
  <c r="F90" i="3" s="1"/>
  <c r="G91" i="3" s="1"/>
  <c r="C92" i="3" s="1"/>
  <c r="I88" i="3"/>
  <c r="D90" i="3" l="1"/>
  <c r="E90" i="3"/>
  <c r="F91" i="3" s="1"/>
  <c r="G92" i="3" s="1"/>
  <c r="C93" i="3" s="1"/>
  <c r="I89" i="3"/>
  <c r="E91" i="3" l="1"/>
  <c r="F92" i="3" s="1"/>
  <c r="G93" i="3" s="1"/>
  <c r="C94" i="3" s="1"/>
  <c r="D91" i="3"/>
  <c r="I90" i="3"/>
  <c r="E92" i="3" l="1"/>
  <c r="F93" i="3" s="1"/>
  <c r="G94" i="3" s="1"/>
  <c r="C95" i="3" s="1"/>
  <c r="D92" i="3"/>
  <c r="I91" i="3"/>
  <c r="D93" i="3" l="1"/>
  <c r="E93" i="3"/>
  <c r="F94" i="3" s="1"/>
  <c r="G95" i="3" s="1"/>
  <c r="C96" i="3" s="1"/>
  <c r="I92" i="3"/>
  <c r="E94" i="3" l="1"/>
  <c r="F95" i="3" s="1"/>
  <c r="G96" i="3" s="1"/>
  <c r="C97" i="3" s="1"/>
  <c r="I93" i="3"/>
  <c r="D94" i="3"/>
  <c r="E95" i="3" l="1"/>
  <c r="F96" i="3" s="1"/>
  <c r="G97" i="3" s="1"/>
  <c r="C98" i="3" s="1"/>
  <c r="I94" i="3"/>
  <c r="D95" i="3"/>
  <c r="E96" i="3" l="1"/>
  <c r="F97" i="3" s="1"/>
  <c r="G98" i="3" s="1"/>
  <c r="C99" i="3" s="1"/>
  <c r="D96" i="3"/>
  <c r="I95" i="3"/>
  <c r="E97" i="3" l="1"/>
  <c r="F98" i="3" s="1"/>
  <c r="G99" i="3" s="1"/>
  <c r="C100" i="3" s="1"/>
  <c r="I96" i="3"/>
  <c r="D97" i="3"/>
  <c r="E98" i="3" l="1"/>
  <c r="F99" i="3" s="1"/>
  <c r="G100" i="3" s="1"/>
  <c r="C101" i="3" s="1"/>
  <c r="D98" i="3"/>
  <c r="I97" i="3"/>
  <c r="E99" i="3" l="1"/>
  <c r="F100" i="3" s="1"/>
  <c r="G101" i="3" s="1"/>
  <c r="C102" i="3" s="1"/>
  <c r="D99" i="3"/>
  <c r="I98" i="3"/>
  <c r="E100" i="3" l="1"/>
  <c r="F101" i="3" s="1"/>
  <c r="G102" i="3" s="1"/>
  <c r="C103" i="3" s="1"/>
  <c r="D100" i="3"/>
  <c r="I99" i="3"/>
  <c r="D101" i="3" l="1"/>
  <c r="E101" i="3"/>
  <c r="F102" i="3" s="1"/>
  <c r="G103" i="3" s="1"/>
  <c r="C104" i="3" s="1"/>
  <c r="I100" i="3"/>
  <c r="E102" i="3" l="1"/>
  <c r="F103" i="3" s="1"/>
  <c r="G104" i="3" s="1"/>
  <c r="C105" i="3" s="1"/>
  <c r="D102" i="3"/>
  <c r="I101" i="3"/>
  <c r="E103" i="3" l="1"/>
  <c r="F104" i="3" s="1"/>
  <c r="G105" i="3" s="1"/>
  <c r="C106" i="3" s="1"/>
  <c r="D103" i="3"/>
  <c r="I102" i="3"/>
  <c r="E104" i="3" l="1"/>
  <c r="F105" i="3" s="1"/>
  <c r="G106" i="3" s="1"/>
  <c r="C107" i="3" s="1"/>
  <c r="D104" i="3"/>
  <c r="I103" i="3"/>
  <c r="E105" i="3" l="1"/>
  <c r="F106" i="3" s="1"/>
  <c r="G107" i="3" s="1"/>
  <c r="C108" i="3" s="1"/>
  <c r="D105" i="3"/>
  <c r="I104" i="3"/>
  <c r="E106" i="3" l="1"/>
  <c r="F107" i="3" s="1"/>
  <c r="G108" i="3" s="1"/>
  <c r="C109" i="3" s="1"/>
  <c r="D106" i="3"/>
  <c r="I105" i="3"/>
  <c r="E107" i="3" l="1"/>
  <c r="F108" i="3" s="1"/>
  <c r="G109" i="3" s="1"/>
  <c r="C110" i="3" s="1"/>
  <c r="D107" i="3"/>
  <c r="I106" i="3"/>
  <c r="E108" i="3" l="1"/>
  <c r="F109" i="3" s="1"/>
  <c r="G110" i="3" s="1"/>
  <c r="C111" i="3" s="1"/>
  <c r="D108" i="3"/>
  <c r="I107" i="3"/>
  <c r="E109" i="3" l="1"/>
  <c r="F110" i="3" s="1"/>
  <c r="G111" i="3" s="1"/>
  <c r="C112" i="3" s="1"/>
  <c r="D109" i="3"/>
  <c r="I108" i="3"/>
  <c r="E110" i="3" l="1"/>
  <c r="F111" i="3" s="1"/>
  <c r="G112" i="3" s="1"/>
  <c r="D110" i="3"/>
  <c r="I109" i="3"/>
  <c r="E111" i="3" l="1"/>
  <c r="F112" i="3" s="1"/>
  <c r="D111" i="3"/>
  <c r="I110" i="3"/>
  <c r="E112" i="3" l="1"/>
  <c r="D112" i="3"/>
  <c r="I112" i="3" s="1"/>
  <c r="I111" i="3"/>
</calcChain>
</file>

<file path=xl/sharedStrings.xml><?xml version="1.0" encoding="utf-8"?>
<sst xmlns="http://schemas.openxmlformats.org/spreadsheetml/2006/main" count="38" uniqueCount="18">
  <si>
    <t>Year</t>
  </si>
  <si>
    <t>Loggerhead projection matrix</t>
  </si>
  <si>
    <t>This year</t>
  </si>
  <si>
    <t>Next year</t>
  </si>
  <si>
    <t>SJ</t>
  </si>
  <si>
    <t>LJ</t>
  </si>
  <si>
    <t>SAd</t>
  </si>
  <si>
    <t>Ad</t>
  </si>
  <si>
    <t>Sad</t>
  </si>
  <si>
    <t>[N]total</t>
  </si>
  <si>
    <t>Hatchling survival:</t>
  </si>
  <si>
    <t>Clutch size:</t>
  </si>
  <si>
    <t>YL</t>
  </si>
  <si>
    <t>Original matrix</t>
  </si>
  <si>
    <t>add to survival</t>
  </si>
  <si>
    <t>(total surv)</t>
  </si>
  <si>
    <t>transition to sub</t>
  </si>
  <si>
    <t>transition to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</si>
</sst>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imes"/>
    </font>
    <font>
      <sz val="14"/>
      <name val="Verdana"/>
      <family val="2"/>
    </font>
    <font>
      <b/>
      <sz val="14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0" xfId="0" applyNumberFormat="1" applyFont="1"/>
    <xf numFmtId="0" fontId="2" fillId="0" borderId="0" xfId="0" applyFont="1" applyAlignment="1"/>
    <xf numFmtId="0" fontId="2" fillId="0" borderId="0" xfId="0" applyFont="1" applyAlignment="1">
      <alignment textRotation="90"/>
    </xf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Loggerhead!$C$11</c:f>
              <c:strCache>
                <c:ptCount val="1"/>
                <c:pt idx="0">
                  <c:v>YL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Loggerhead!$B$12:$B$112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Loggerhead!$C$12:$C$112</c:f>
              <c:numCache>
                <c:formatCode>0</c:formatCode>
                <c:ptCount val="101"/>
                <c:pt idx="0">
                  <c:v>400</c:v>
                </c:pt>
                <c:pt idx="1">
                  <c:v>1032.75</c:v>
                </c:pt>
                <c:pt idx="2">
                  <c:v>1780.4610000000002</c:v>
                </c:pt>
                <c:pt idx="3">
                  <c:v>2102.8142902500003</c:v>
                </c:pt>
                <c:pt idx="4">
                  <c:v>2166.8388044310004</c:v>
                </c:pt>
                <c:pt idx="5">
                  <c:v>2082.0442796996836</c:v>
                </c:pt>
                <c:pt idx="6">
                  <c:v>1920.3223454218141</c:v>
                </c:pt>
                <c:pt idx="7">
                  <c:v>1728.8040745647452</c:v>
                </c:pt>
                <c:pt idx="8">
                  <c:v>1537.0206720432313</c:v>
                </c:pt>
                <c:pt idx="9">
                  <c:v>1361.7478731422525</c:v>
                </c:pt>
                <c:pt idx="10">
                  <c:v>1210.7473842056838</c:v>
                </c:pt>
                <c:pt idx="11">
                  <c:v>1085.7736833246863</c:v>
                </c:pt>
                <c:pt idx="12">
                  <c:v>984.94316797056263</c:v>
                </c:pt>
                <c:pt idx="13">
                  <c:v>904.50970003366092</c:v>
                </c:pt>
                <c:pt idx="14">
                  <c:v>840.10568883833264</c:v>
                </c:pt>
                <c:pt idx="15">
                  <c:v>787.53183912929455</c:v>
                </c:pt>
                <c:pt idx="16">
                  <c:v>743.19222608153268</c:v>
                </c:pt>
                <c:pt idx="17">
                  <c:v>704.2715791542571</c:v>
                </c:pt>
                <c:pt idx="18">
                  <c:v>668.74166338643693</c:v>
                </c:pt>
                <c:pt idx="19">
                  <c:v>635.26788144723128</c:v>
                </c:pt>
                <c:pt idx="20">
                  <c:v>603.06958353645587</c:v>
                </c:pt>
                <c:pt idx="21">
                  <c:v>571.77083087518054</c:v>
                </c:pt>
                <c:pt idx="22">
                  <c:v>541.26412593450675</c:v>
                </c:pt>
                <c:pt idx="23">
                  <c:v>511.59857707583251</c:v>
                </c:pt>
                <c:pt idx="24">
                  <c:v>482.89612819740876</c:v>
                </c:pt>
                <c:pt idx="25">
                  <c:v>455.29447910680165</c:v>
                </c:pt>
                <c:pt idx="26">
                  <c:v>428.91258342360697</c:v>
                </c:pt>
                <c:pt idx="27">
                  <c:v>403.83352893393203</c:v>
                </c:pt>
                <c:pt idx="28">
                  <c:v>380.09962125310989</c:v>
                </c:pt>
                <c:pt idx="29">
                  <c:v>357.71514408589024</c:v>
                </c:pt>
                <c:pt idx="30">
                  <c:v>336.65321101854892</c:v>
                </c:pt>
                <c:pt idx="31">
                  <c:v>316.86411673044159</c:v>
                </c:pt>
                <c:pt idx="32">
                  <c:v>298.28349501107618</c:v>
                </c:pt>
                <c:pt idx="33">
                  <c:v>280.83932440128308</c:v>
                </c:pt>
                <c:pt idx="34">
                  <c:v>264.45736802049316</c:v>
                </c:pt>
                <c:pt idx="35">
                  <c:v>249.06500292203165</c:v>
                </c:pt>
                <c:pt idx="36">
                  <c:v>234.59361434875859</c:v>
                </c:pt>
                <c:pt idx="37">
                  <c:v>220.97983642805085</c:v>
                </c:pt>
                <c:pt idx="38">
                  <c:v>208.16594758372929</c:v>
                </c:pt>
                <c:pt idx="39">
                  <c:v>196.0997061511419</c:v>
                </c:pt>
                <c:pt idx="40">
                  <c:v>184.73386290575121</c:v>
                </c:pt>
                <c:pt idx="41">
                  <c:v>174.02552938110168</c:v>
                </c:pt>
                <c:pt idx="42">
                  <c:v>163.9355249316171</c:v>
                </c:pt>
                <c:pt idx="43">
                  <c:v>154.42777763576521</c:v>
                </c:pt>
                <c:pt idx="44">
                  <c:v>145.46881691093563</c:v>
                </c:pt>
                <c:pt idx="45">
                  <c:v>137.02736930049741</c:v>
                </c:pt>
                <c:pt idx="46">
                  <c:v>129.07405205644346</c:v>
                </c:pt>
                <c:pt idx="47">
                  <c:v>121.58114996770966</c:v>
                </c:pt>
                <c:pt idx="48">
                  <c:v>114.52245731158227</c:v>
                </c:pt>
                <c:pt idx="49">
                  <c:v>107.87316693764346</c:v>
                </c:pt>
                <c:pt idx="50">
                  <c:v>101.60979076717656</c:v>
                </c:pt>
                <c:pt idx="51">
                  <c:v>95.710099230270714</c:v>
                </c:pt>
                <c:pt idx="52">
                  <c:v>90.15307056396756</c:v>
                </c:pt>
                <c:pt idx="53">
                  <c:v>84.918843969645124</c:v>
                </c:pt>
                <c:pt idx="54">
                  <c:v>79.988673132874851</c:v>
                </c:pt>
                <c:pt idx="55">
                  <c:v>75.344878473147048</c:v>
                </c:pt>
                <c:pt idx="56">
                  <c:v>70.970797752267572</c:v>
                </c:pt>
                <c:pt idx="57">
                  <c:v>66.850735425813113</c:v>
                </c:pt>
                <c:pt idx="58">
                  <c:v>62.969911490912082</c:v>
                </c:pt>
                <c:pt idx="59">
                  <c:v>59.314410683032136</c:v>
                </c:pt>
                <c:pt idx="60">
                  <c:v>55.871132805998357</c:v>
                </c:pt>
                <c:pt idx="61">
                  <c:v>52.627744823021771</c:v>
                </c:pt>
                <c:pt idx="62">
                  <c:v>49.572635149420165</c:v>
                </c:pt>
                <c:pt idx="63">
                  <c:v>46.694870407063853</c:v>
                </c:pt>
                <c:pt idx="64">
                  <c:v>43.984154747102401</c:v>
                </c:pt>
                <c:pt idx="65">
                  <c:v>41.430791729852643</c:v>
                </c:pt>
                <c:pt idx="66">
                  <c:v>39.025648669372416</c:v>
                </c:pt>
                <c:pt idx="67">
                  <c:v>36.760123300951733</c:v>
                </c:pt>
                <c:pt idx="68">
                  <c:v>34.626112606015944</c:v>
                </c:pt>
                <c:pt idx="69">
                  <c:v>32.615983623749855</c:v>
                </c:pt>
                <c:pt idx="70">
                  <c:v>30.722546085696603</c:v>
                </c:pt>
                <c:pt idx="71">
                  <c:v>28.939026723377108</c:v>
                </c:pt>
                <c:pt idx="72">
                  <c:v>27.259045115654242</c:v>
                </c:pt>
                <c:pt idx="73">
                  <c:v>25.676590959430538</c:v>
                </c:pt>
                <c:pt idx="74">
                  <c:v>24.186002662692868</c:v>
                </c:pt>
                <c:pt idx="75">
                  <c:v>22.781947172102143</c:v>
                </c:pt>
                <c:pt idx="76">
                  <c:v>21.459400958053664</c:v>
                </c:pt>
                <c:pt idx="77">
                  <c:v>20.213632088555674</c:v>
                </c:pt>
                <c:pt idx="78">
                  <c:v>19.040183329736763</c:v>
                </c:pt>
                <c:pt idx="79">
                  <c:v>17.934856215718302</c:v>
                </c:pt>
                <c:pt idx="80">
                  <c:v>16.893696034387649</c:v>
                </c:pt>
                <c:pt idx="81">
                  <c:v>15.912977678639445</c:v>
                </c:pt>
                <c:pt idx="82">
                  <c:v>14.989192315197952</c:v>
                </c:pt>
                <c:pt idx="83">
                  <c:v>14.119034825398783</c:v>
                </c:pt>
                <c:pt idx="84">
                  <c:v>13.29939197442868</c:v>
                </c:pt>
                <c:pt idx="85">
                  <c:v>12.527331267577202</c:v>
                </c:pt>
                <c:pt idx="86">
                  <c:v>11.800090454081957</c:v>
                </c:pt>
                <c:pt idx="87">
                  <c:v>11.115067641159671</c:v>
                </c:pt>
                <c:pt idx="88">
                  <c:v>10.469811982802243</c:v>
                </c:pt>
                <c:pt idx="89">
                  <c:v>9.8620149098654437</c:v>
                </c:pt>
                <c:pt idx="90">
                  <c:v>9.2895018698715592</c:v>
                </c:pt>
                <c:pt idx="91">
                  <c:v>8.7502245467709638</c:v>
                </c:pt>
                <c:pt idx="92">
                  <c:v>8.2422535326498831</c:v>
                </c:pt>
                <c:pt idx="93">
                  <c:v>7.7637714250251531</c:v>
                </c:pt>
                <c:pt idx="94">
                  <c:v>7.3130663249280641</c:v>
                </c:pt>
                <c:pt idx="95">
                  <c:v>6.8885257124485229</c:v>
                </c:pt>
                <c:pt idx="96">
                  <c:v>6.4886306777898133</c:v>
                </c:pt>
                <c:pt idx="97">
                  <c:v>6.1119504871776318</c:v>
                </c:pt>
                <c:pt idx="98">
                  <c:v>5.7571374641795376</c:v>
                </c:pt>
                <c:pt idx="99">
                  <c:v>5.4229221681280899</c:v>
                </c:pt>
                <c:pt idx="100">
                  <c:v>5.1081088524081215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A8-431D-BBA3-5DD39F7F2B62}"/>
            </c:ext>
          </c:extLst>
        </c:ser>
        <c:ser>
          <c:idx val="1"/>
          <c:order val="1"/>
          <c:tx>
            <c:strRef>
              <c:f>Loggerhead!$D$11</c:f>
              <c:strCache>
                <c:ptCount val="1"/>
                <c:pt idx="0">
                  <c:v>SJ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Loggerhead!$B$12:$B$112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Loggerhead!$D$12:$D$112</c:f>
              <c:numCache>
                <c:formatCode>0</c:formatCode>
                <c:ptCount val="101"/>
                <c:pt idx="0">
                  <c:v>700</c:v>
                </c:pt>
                <c:pt idx="1">
                  <c:v>790</c:v>
                </c:pt>
                <c:pt idx="2">
                  <c:v>1327.5625</c:v>
                </c:pt>
                <c:pt idx="3">
                  <c:v>2264.6395000000002</c:v>
                </c:pt>
                <c:pt idx="4">
                  <c:v>3162.3583676875005</c:v>
                </c:pt>
                <c:pt idx="5">
                  <c:v>3838.7799607045008</c:v>
                </c:pt>
                <c:pt idx="6">
                  <c:v>4248.6791822679133</c:v>
                </c:pt>
                <c:pt idx="7">
                  <c:v>4414.3171866538996</c:v>
                </c:pt>
                <c:pt idx="8">
                  <c:v>4386.6250865812881</c:v>
                </c:pt>
                <c:pt idx="9">
                  <c:v>4223.4030646393248</c:v>
                </c:pt>
                <c:pt idx="10">
                  <c:v>3977.6930501042166</c:v>
                </c:pt>
                <c:pt idx="11">
                  <c:v>3692.4456732272142</c:v>
                </c:pt>
                <c:pt idx="12">
                  <c:v>3399.0422337525642</c:v>
                </c:pt>
                <c:pt idx="13">
                  <c:v>3118.0369396047167</c:v>
                </c:pt>
                <c:pt idx="14">
                  <c:v>2861.0081327485473</c:v>
                </c:pt>
                <c:pt idx="15">
                  <c:v>2632.7849595527323</c:v>
                </c:pt>
                <c:pt idx="16">
                  <c:v>2433.5983510338833</c:v>
                </c:pt>
                <c:pt idx="17">
                  <c:v>2260.9130152848675</c:v>
                </c:pt>
                <c:pt idx="18">
                  <c:v>2110.8427950651003</c:v>
                </c:pt>
                <c:pt idx="19">
                  <c:v>1979.146204085398</c:v>
                </c:pt>
                <c:pt idx="20">
                  <c:v>1861.8532539452021</c:v>
                </c:pt>
                <c:pt idx="21">
                  <c:v>1755.5994654139834</c:v>
                </c:pt>
                <c:pt idx="22">
                  <c:v>1657.7477489461737</c:v>
                </c:pt>
                <c:pt idx="23">
                  <c:v>1566.3715187132016</c:v>
                </c:pt>
                <c:pt idx="24">
                  <c:v>1480.1589959061155</c:v>
                </c:pt>
                <c:pt idx="25">
                  <c:v>1398.2833932823373</c:v>
                </c:pt>
                <c:pt idx="26">
                  <c:v>1320.2692346277372</c:v>
                </c:pt>
                <c:pt idx="27">
                  <c:v>1245.8729018071213</c:v>
                </c:pt>
                <c:pt idx="28">
                  <c:v>1174.9861779654339</c:v>
                </c:pt>
                <c:pt idx="29">
                  <c:v>1107.5650405156362</c:v>
                </c:pt>
                <c:pt idx="30">
                  <c:v>1043.5818864253629</c:v>
                </c:pt>
                <c:pt idx="31">
                  <c:v>982.99722876166561</c:v>
                </c:pt>
                <c:pt idx="32">
                  <c:v>925.74614768099707</c:v>
                </c:pt>
                <c:pt idx="33">
                  <c:v>871.73492463500497</c:v>
                </c:pt>
                <c:pt idx="34">
                  <c:v>820.84394054546567</c:v>
                </c:pt>
                <c:pt idx="35">
                  <c:v>772.93378439719584</c:v>
                </c:pt>
                <c:pt idx="36">
                  <c:v>727.8524012695608</c:v>
                </c:pt>
                <c:pt idx="37">
                  <c:v>685.44189165026148</c:v>
                </c:pt>
                <c:pt idx="38">
                  <c:v>645.54420147622113</c:v>
                </c:pt>
                <c:pt idx="39">
                  <c:v>608.00540172115166</c:v>
                </c:pt>
                <c:pt idx="40">
                  <c:v>572.67856081816262</c:v>
                </c:pt>
                <c:pt idx="41">
                  <c:v>539.42538975202729</c:v>
                </c:pt>
                <c:pt idx="42">
                  <c:v>508.11691986224537</c:v>
                </c:pt>
                <c:pt idx="43">
                  <c:v>478.63348760228456</c:v>
                </c:pt>
                <c:pt idx="44">
                  <c:v>450.86427454842305</c:v>
                </c:pt>
                <c:pt idx="45">
                  <c:v>424.70660486709784</c:v>
                </c:pt>
                <c:pt idx="46">
                  <c:v>400.06515038234153</c:v>
                </c:pt>
                <c:pt idx="47">
                  <c:v>376.85114430997169</c:v>
                </c:pt>
                <c:pt idx="48">
                  <c:v>354.98166349276244</c:v>
                </c:pt>
                <c:pt idx="49">
                  <c:v>334.37900742862041</c:v>
                </c:pt>
                <c:pt idx="50">
                  <c:v>314.97018040326685</c:v>
                </c:pt>
                <c:pt idx="51">
                  <c:v>296.68646935766924</c:v>
                </c:pt>
                <c:pt idx="52">
                  <c:v>279.4631029730715</c:v>
                </c:pt>
                <c:pt idx="53">
                  <c:v>263.23897500412573</c:v>
                </c:pt>
                <c:pt idx="54">
                  <c:v>247.95641548012185</c:v>
                </c:pt>
                <c:pt idx="55">
                  <c:v>233.56099568574143</c:v>
                </c:pt>
                <c:pt idx="56">
                  <c:v>220.00135583487929</c:v>
                </c:pt>
                <c:pt idx="57">
                  <c:v>207.22904739861616</c:v>
                </c:pt>
                <c:pt idx="58">
                  <c:v>195.19838474839111</c:v>
                </c:pt>
                <c:pt idx="59">
                  <c:v>183.86630294205781</c:v>
                </c:pt>
                <c:pt idx="60">
                  <c:v>173.19222007171456</c:v>
                </c:pt>
                <c:pt idx="61">
                  <c:v>163.13790365469896</c:v>
                </c:pt>
                <c:pt idx="62">
                  <c:v>153.66734117555558</c:v>
                </c:pt>
                <c:pt idx="63">
                  <c:v>144.74661518495401</c:v>
                </c:pt>
                <c:pt idx="64">
                  <c:v>136.34378343476567</c:v>
                </c:pt>
                <c:pt idx="65">
                  <c:v>128.42876446466278</c:v>
                </c:pt>
                <c:pt idx="66">
                  <c:v>120.97322892265342</c:v>
                </c:pt>
                <c:pt idx="67">
                  <c:v>113.9504967478867</c:v>
                </c:pt>
                <c:pt idx="68">
                  <c:v>107.33544019923448</c:v>
                </c:pt>
                <c:pt idx="69">
                  <c:v>101.10439259397609</c:v>
                </c:pt>
                <c:pt idx="70">
                  <c:v>95.235062533595652</c:v>
                </c:pt>
                <c:pt idx="71">
                  <c:v>89.706453337789412</c:v>
                </c:pt>
                <c:pt idx="72">
                  <c:v>84.498787378985412</c:v>
                </c:pt>
                <c:pt idx="73">
                  <c:v>79.593435002030475</c:v>
                </c:pt>
                <c:pt idx="74">
                  <c:v>74.972847720994238</c:v>
                </c:pt>
                <c:pt idx="75">
                  <c:v>70.620495401715615</c:v>
                </c:pt>
                <c:pt idx="76">
                  <c:v>66.520807160277542</c:v>
                </c:pt>
                <c:pt idx="77">
                  <c:v>62.659115730734527</c:v>
                </c:pt>
                <c:pt idx="78">
                  <c:v>59.021605077930928</c:v>
                </c:pt>
                <c:pt idx="79">
                  <c:v>55.595261051854223</c:v>
                </c:pt>
                <c:pt idx="80">
                  <c:v>52.367824898086681</c:v>
                </c:pt>
                <c:pt idx="81">
                  <c:v>49.327749454451414</c:v>
                </c:pt>
                <c:pt idx="82">
                  <c:v>46.464157877095573</c:v>
                </c:pt>
                <c:pt idx="83">
                  <c:v>43.766804750365367</c:v>
                </c:pt>
                <c:pt idx="84">
                  <c:v>41.226039444304838</c:v>
                </c:pt>
                <c:pt idx="85">
                  <c:v>38.832771591834891</c:v>
                </c:pt>
                <c:pt idx="86">
                  <c:v>36.578438564967328</c:v>
                </c:pt>
                <c:pt idx="87">
                  <c:v>34.454974836038602</c:v>
                </c:pt>
                <c:pt idx="88">
                  <c:v>32.45478311609677</c:v>
                </c:pt>
                <c:pt idx="89">
                  <c:v>30.570707168369424</c:v>
                </c:pt>
                <c:pt idx="90">
                  <c:v>28.796006200257679</c:v>
                </c:pt>
                <c:pt idx="91">
                  <c:v>27.124330742584043</c:v>
                </c:pt>
                <c:pt idx="92">
                  <c:v>25.549699929887048</c:v>
                </c:pt>
                <c:pt idx="93">
                  <c:v>24.066480100408345</c:v>
                </c:pt>
                <c:pt idx="94">
                  <c:v>22.669364639054706</c:v>
                </c:pt>
                <c:pt idx="95">
                  <c:v>21.35335499103434</c:v>
                </c:pt>
                <c:pt idx="96">
                  <c:v>20.113742778060431</c:v>
                </c:pt>
                <c:pt idx="97">
                  <c:v>18.94609295298466</c:v>
                </c:pt>
                <c:pt idx="98">
                  <c:v>17.846227932472488</c:v>
                </c:pt>
                <c:pt idx="99">
                  <c:v>16.810212650865395</c:v>
                </c:pt>
                <c:pt idx="100">
                  <c:v>15.834340481701844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A8-431D-BBA3-5DD39F7F2B62}"/>
            </c:ext>
          </c:extLst>
        </c:ser>
        <c:ser>
          <c:idx val="2"/>
          <c:order val="2"/>
          <c:tx>
            <c:strRef>
              <c:f>Loggerhead!$E$11</c:f>
              <c:strCache>
                <c:ptCount val="1"/>
                <c:pt idx="0">
                  <c:v>LJ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Loggerhead!$B$12:$B$112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Loggerhead!$E$12:$E$112</c:f>
              <c:numCache>
                <c:formatCode>0</c:formatCode>
                <c:ptCount val="101"/>
                <c:pt idx="0">
                  <c:v>300</c:v>
                </c:pt>
                <c:pt idx="1">
                  <c:v>232.10000000000002</c:v>
                </c:pt>
                <c:pt idx="2">
                  <c:v>191.98970000000003</c:v>
                </c:pt>
                <c:pt idx="3">
                  <c:v>192.51535790000003</c:v>
                </c:pt>
                <c:pt idx="4">
                  <c:v>239.71456514030004</c:v>
                </c:pt>
                <c:pt idx="5">
                  <c:v>315.6103876815522</c:v>
                </c:pt>
                <c:pt idx="6">
                  <c:v>399.29502274200485</c:v>
                </c:pt>
                <c:pt idx="7">
                  <c:v>474.77078905489282</c:v>
                </c:pt>
                <c:pt idx="8">
                  <c:v>532.64026774175954</c:v>
                </c:pt>
                <c:pt idx="9">
                  <c:v>569.27591023540049</c:v>
                </c:pt>
                <c:pt idx="10">
                  <c:v>585.18442625662442</c:v>
                </c:pt>
                <c:pt idx="11">
                  <c:v>583.35082055581313</c:v>
                </c:pt>
                <c:pt idx="12">
                  <c:v>567.88377276653</c:v>
                </c:pt>
                <c:pt idx="13">
                  <c:v>543.0517503952384</c:v>
                </c:pt>
                <c:pt idx="14">
                  <c:v>512.68684698990751</c:v>
                </c:pt>
                <c:pt idx="15">
                  <c:v>479.88566510979661</c:v>
                </c:pt>
                <c:pt idx="16">
                  <c:v>446.92412995477298</c:v>
                </c:pt>
                <c:pt idx="17">
                  <c:v>415.30907093198005</c:v>
                </c:pt>
                <c:pt idx="18">
                  <c:v>385.90371036655426</c:v>
                </c:pt>
                <c:pt idx="19">
                  <c:v>359.08087746408114</c:v>
                </c:pt>
                <c:pt idx="20">
                  <c:v>334.87344669817122</c:v>
                </c:pt>
                <c:pt idx="21">
                  <c:v>313.1045171779586</c:v>
                </c:pt>
                <c:pt idx="22">
                  <c:v>293.48964105661798</c:v>
                </c:pt>
                <c:pt idx="23">
                  <c:v>275.71008162150673</c:v>
                </c:pt>
                <c:pt idx="24">
                  <c:v>259.46009956098999</c:v>
                </c:pt>
                <c:pt idx="25">
                  <c:v>244.47323520687621</c:v>
                </c:pt>
                <c:pt idx="26">
                  <c:v>230.53308519503457</c:v>
                </c:pt>
                <c:pt idx="27">
                  <c:v>217.47369870452457</c:v>
                </c:pt>
                <c:pt idx="28">
                  <c:v>205.17386513922872</c:v>
                </c:pt>
                <c:pt idx="29">
                  <c:v>193.54853829474496</c:v>
                </c:pt>
                <c:pt idx="30">
                  <c:v>182.53964168542925</c:v>
                </c:pt>
                <c:pt idx="31">
                  <c:v>172.10763890859516</c:v>
                </c:pt>
                <c:pt idx="32">
                  <c:v>162.22458020103031</c:v>
                </c:pt>
                <c:pt idx="33">
                  <c:v>152.86885657612677</c:v>
                </c:pt>
                <c:pt idx="34">
                  <c:v>144.02158500226557</c:v>
                </c:pt>
                <c:pt idx="35">
                  <c:v>135.66437837376176</c:v>
                </c:pt>
                <c:pt idx="36">
                  <c:v>127.77818581142128</c:v>
                </c:pt>
                <c:pt idx="37">
                  <c:v>120.34288814158182</c:v>
                </c:pt>
                <c:pt idx="38">
                  <c:v>113.33737209153234</c:v>
                </c:pt>
                <c:pt idx="39">
                  <c:v>106.7398635379478</c:v>
                </c:pt>
                <c:pt idx="40">
                  <c:v>100.5283604304893</c:v>
                </c:pt>
                <c:pt idx="41">
                  <c:v>94.681060843739601</c:v>
                </c:pt>
                <c:pt idx="42">
                  <c:v>89.176726461938287</c:v>
                </c:pt>
                <c:pt idx="43">
                  <c:v>83.99495527860573</c:v>
                </c:pt>
                <c:pt idx="44">
                  <c:v>79.116359998158202</c:v>
                </c:pt>
                <c:pt idx="45">
                  <c:v>74.522662246211098</c:v>
                </c:pt>
                <c:pt idx="46">
                  <c:v>70.196719339115589</c:v>
                </c:pt>
                <c:pt idx="47">
                  <c:v>66.122502124916025</c:v>
                </c:pt>
                <c:pt idx="48">
                  <c:v>62.285041111568418</c:v>
                </c:pt>
                <c:pt idx="49">
                  <c:v>58.670355184938579</c:v>
                </c:pt>
                <c:pt idx="50">
                  <c:v>55.265373727935668</c:v>
                </c:pt>
                <c:pt idx="51">
                  <c:v>52.057859559417082</c:v>
                </c:pt>
                <c:pt idx="52">
                  <c:v>49.03633719842049</c:v>
                </c:pt>
                <c:pt idx="53">
                  <c:v>46.190028688015836</c:v>
                </c:pt>
                <c:pt idx="54">
                  <c:v>43.50879759823269</c:v>
                </c:pt>
                <c:pt idx="55">
                  <c:v>40.983100796044965</c:v>
                </c:pt>
                <c:pt idx="56">
                  <c:v>38.60394700728861</c:v>
                </c:pt>
                <c:pt idx="57">
                  <c:v>36.362860975532584</c:v>
                </c:pt>
                <c:pt idx="58">
                  <c:v>34.251852030855716</c:v>
                </c:pt>
                <c:pt idx="59">
                  <c:v>32.263386021691758</c:v>
                </c:pt>
                <c:pt idx="60">
                  <c:v>30.390359763354375</c:v>
                </c:pt>
                <c:pt idx="61">
                  <c:v>28.626077368109556</c:v>
                </c:pt>
                <c:pt idx="62">
                  <c:v>26.964228013582925</c:v>
                </c:pt>
                <c:pt idx="63">
                  <c:v>25.398864863701764</c:v>
                </c:pt>
                <c:pt idx="64">
                  <c:v>23.924384974699763</c:v>
                </c:pt>
                <c:pt idx="65">
                  <c:v>22.535510100116028</c:v>
                </c:pt>
                <c:pt idx="66">
                  <c:v>21.227268359009372</c:v>
                </c:pt>
                <c:pt idx="67">
                  <c:v>19.99497675800183</c:v>
                </c:pt>
                <c:pt idx="68">
                  <c:v>18.834224567401538</c:v>
                </c:pt>
                <c:pt idx="69">
                  <c:v>17.740857550744536</c:v>
                </c:pt>
                <c:pt idx="70">
                  <c:v>16.710963040537965</c:v>
                </c:pt>
                <c:pt idx="71">
                  <c:v>15.740855844313227</c:v>
                </c:pt>
                <c:pt idx="72">
                  <c:v>14.827064956603262</c:v>
                </c:pt>
                <c:pt idx="73">
                  <c:v>13.966321045437613</c:v>
                </c:pt>
                <c:pt idx="74">
                  <c:v>13.155544676954037</c:v>
                </c:pt>
                <c:pt idx="75">
                  <c:v>12.391835238808515</c:v>
                </c:pt>
                <c:pt idx="76">
                  <c:v>11.672460521982975</c:v>
                </c:pt>
                <c:pt idx="77">
                  <c:v>10.994846920956693</c:v>
                </c:pt>
                <c:pt idx="78">
                  <c:v>10.356570213605274</c:v>
                </c:pt>
                <c:pt idx="79">
                  <c:v>9.7553468842352125</c:v>
                </c:pt>
                <c:pt idx="80">
                  <c:v>9.1890259555352465</c:v>
                </c:pt>
                <c:pt idx="81">
                  <c:v>8.6555812976909916</c:v>
                </c:pt>
                <c:pt idx="82">
                  <c:v>8.1531043853055518</c:v>
                </c:pt>
                <c:pt idx="83">
                  <c:v>7.6797974750005267</c:v>
                </c:pt>
                <c:pt idx="84">
                  <c:v>7.2339671785936144</c:v>
                </c:pt>
                <c:pt idx="85">
                  <c:v>6.814018408551247</c:v>
                </c:pt>
                <c:pt idx="86">
                  <c:v>6.4184486740099143</c:v>
                </c:pt>
                <c:pt idx="87">
                  <c:v>6.0458427070728806</c:v>
                </c:pt>
                <c:pt idx="88">
                  <c:v>5.6948674003488131</c:v>
                </c:pt>
                <c:pt idx="89">
                  <c:v>5.3642670378340087</c:v>
                </c:pt>
                <c:pt idx="90">
                  <c:v>5.0528588022754155</c:v>
                </c:pt>
                <c:pt idx="91">
                  <c:v>4.759528543107832</c:v>
                </c:pt>
                <c:pt idx="92">
                  <c:v>4.4832267899510487</c:v>
                </c:pt>
                <c:pt idx="93">
                  <c:v>4.2229649974921912</c:v>
                </c:pt>
                <c:pt idx="94">
                  <c:v>3.977812008372787</c:v>
                </c:pt>
                <c:pt idx="95">
                  <c:v>3.7468907214536564</c:v>
                </c:pt>
                <c:pt idx="96">
                  <c:v>3.5293749535467693</c:v>
                </c:pt>
                <c:pt idx="97">
                  <c:v>3.3244864833832493</c:v>
                </c:pt>
                <c:pt idx="98">
                  <c:v>3.1314922672320282</c:v>
                </c:pt>
                <c:pt idx="99">
                  <c:v>2.9497018161950672</c:v>
                </c:pt>
                <c:pt idx="100">
                  <c:v>2.7784647257834294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A8-431D-BBA3-5DD39F7F2B62}"/>
            </c:ext>
          </c:extLst>
        </c:ser>
        <c:ser>
          <c:idx val="3"/>
          <c:order val="3"/>
          <c:tx>
            <c:strRef>
              <c:f>Loggerhead!$F$11</c:f>
              <c:strCache>
                <c:ptCount val="1"/>
                <c:pt idx="0">
                  <c:v>Sad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Loggerhead!$B$12:$B$112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Loggerhead!$F$12:$F$112</c:f>
              <c:numCache>
                <c:formatCode>0</c:formatCode>
                <c:ptCount val="101"/>
                <c:pt idx="0">
                  <c:v>300</c:v>
                </c:pt>
                <c:pt idx="1">
                  <c:v>210.30000000000004</c:v>
                </c:pt>
                <c:pt idx="2">
                  <c:v>147.83450000000005</c:v>
                </c:pt>
                <c:pt idx="3">
                  <c:v>104.47093330000006</c:v>
                </c:pt>
                <c:pt idx="4">
                  <c:v>74.906968310700051</c:v>
                </c:pt>
                <c:pt idx="5">
                  <c:v>55.641129125563147</c:v>
                </c:pt>
                <c:pt idx="6">
                  <c:v>43.943847429583563</c:v>
                </c:pt>
                <c:pt idx="7">
                  <c:v>37.556309379074087</c:v>
                </c:pt>
                <c:pt idx="8">
                  <c:v>34.634047988571496</c:v>
                </c:pt>
                <c:pt idx="9">
                  <c:v>33.740585815299198</c:v>
                </c:pt>
                <c:pt idx="10">
                  <c:v>33.827321820506668</c:v>
                </c:pt>
                <c:pt idx="11">
                  <c:v>34.188737580461421</c:v>
                </c:pt>
                <c:pt idx="12">
                  <c:v>34.40038462043514</c:v>
                </c:pt>
                <c:pt idx="13">
                  <c:v>34.250853993700844</c:v>
                </c:pt>
                <c:pt idx="14">
                  <c:v>33.677065681213513</c:v>
                </c:pt>
                <c:pt idx="15">
                  <c:v>32.708808887395861</c:v>
                </c:pt>
                <c:pt idx="16">
                  <c:v>31.425235298290119</c:v>
                </c:pt>
                <c:pt idx="17">
                  <c:v>29.923568942574555</c:v>
                </c:pt>
                <c:pt idx="18">
                  <c:v>28.298746366543472</c:v>
                </c:pt>
                <c:pt idx="19">
                  <c:v>26.631915518947181</c:v>
                </c:pt>
                <c:pt idx="20">
                  <c:v>24.985503055739525</c:v>
                </c:pt>
                <c:pt idx="21">
                  <c:v>23.402708571279614</c:v>
                </c:pt>
                <c:pt idx="22">
                  <c:v>21.909633071993916</c:v>
                </c:pt>
                <c:pt idx="23">
                  <c:v>20.518672935175594</c:v>
                </c:pt>
                <c:pt idx="24">
                  <c:v>19.232226492598386</c:v>
                </c:pt>
                <c:pt idx="25">
                  <c:v>18.046120359610914</c:v>
                </c:pt>
                <c:pt idx="26">
                  <c:v>16.952445554185296</c:v>
                </c:pt>
                <c:pt idx="27">
                  <c:v>15.941696486660032</c:v>
                </c:pt>
                <c:pt idx="28">
                  <c:v>15.004237279288112</c:v>
                </c:pt>
                <c:pt idx="29">
                  <c:v>14.131193262119842</c:v>
                </c:pt>
                <c:pt idx="30">
                  <c:v>13.314896032365889</c:v>
                </c:pt>
                <c:pt idx="31">
                  <c:v>12.549012286096694</c:v>
                </c:pt>
                <c:pt idx="32">
                  <c:v>11.828471518381255</c:v>
                </c:pt>
                <c:pt idx="33">
                  <c:v>11.149284599355592</c:v>
                </c:pt>
                <c:pt idx="34">
                  <c:v>10.508320371706924</c:v>
                </c:pt>
                <c:pt idx="35">
                  <c:v>9.9030846085471698</c:v>
                </c:pt>
                <c:pt idx="36">
                  <c:v>9.3315268921306451</c:v>
                </c:pt>
                <c:pt idx="37">
                  <c:v>8.7918868708501048</c:v>
                </c:pt>
                <c:pt idx="38">
                  <c:v>8.2825817206098282</c:v>
                </c:pt>
                <c:pt idx="39">
                  <c:v>7.8021308031950181</c:v>
                </c:pt>
                <c:pt idx="40">
                  <c:v>7.3491106150000114</c:v>
                </c:pt>
                <c:pt idx="41">
                  <c:v>6.9221322876093057</c:v>
                </c:pt>
                <c:pt idx="42">
                  <c:v>6.5198343761805999</c:v>
                </c:pt>
                <c:pt idx="43">
                  <c:v>6.1408848473319972</c:v>
                </c:pt>
                <c:pt idx="44">
                  <c:v>5.7839876161739312</c:v>
                </c:pt>
                <c:pt idx="45">
                  <c:v>5.4478903941956283</c:v>
                </c:pt>
                <c:pt idx="46">
                  <c:v>5.13139183151943</c:v>
                </c:pt>
                <c:pt idx="47">
                  <c:v>4.8333468965394486</c:v>
                </c:pt>
                <c:pt idx="48">
                  <c:v>4.5526701238133089</c:v>
                </c:pt>
                <c:pt idx="49">
                  <c:v>4.2883368055604771</c:v>
                </c:pt>
                <c:pt idx="50">
                  <c:v>4.0393824499060784</c:v>
                </c:pt>
                <c:pt idx="51">
                  <c:v>3.8049009316667242</c:v>
                </c:pt>
                <c:pt idx="52">
                  <c:v>3.5840417670256306</c:v>
                </c:pt>
                <c:pt idx="53">
                  <c:v>3.3760068918814699</c:v>
                </c:pt>
                <c:pt idx="54">
                  <c:v>3.180047245335464</c:v>
                </c:pt>
                <c:pt idx="55">
                  <c:v>2.9954593756852081</c:v>
                </c:pt>
                <c:pt idx="56">
                  <c:v>2.821582209342167</c:v>
                </c:pt>
                <c:pt idx="57">
                  <c:v>2.657794059909842</c:v>
                </c:pt>
                <c:pt idx="58">
                  <c:v>2.5035099073936316</c:v>
                </c:pt>
                <c:pt idx="59">
                  <c:v>2.3581789454287154</c:v>
                </c:pt>
                <c:pt idx="60">
                  <c:v>2.2212823751945274</c:v>
                </c:pt>
                <c:pt idx="61">
                  <c:v>2.092331415386401</c:v>
                </c:pt>
                <c:pt idx="62">
                  <c:v>1.9708654952876072</c:v>
                </c:pt>
                <c:pt idx="63">
                  <c:v>1.856450600044224</c:v>
                </c:pt>
                <c:pt idx="64">
                  <c:v>1.7486777416404946</c:v>
                </c:pt>
                <c:pt idx="65">
                  <c:v>1.6471615343181132</c:v>
                </c:pt>
                <c:pt idx="66">
                  <c:v>1.5515388583071579</c:v>
                </c:pt>
                <c:pt idx="67">
                  <c:v>1.4614676001866602</c:v>
                </c:pt>
                <c:pt idx="68">
                  <c:v>1.3766254617293372</c:v>
                </c:pt>
                <c:pt idx="69">
                  <c:v>1.2967088316800375</c:v>
                </c:pt>
                <c:pt idx="70">
                  <c:v>1.221431716669932</c:v>
                </c:pt>
                <c:pt idx="71">
                  <c:v>1.1505247285391151</c:v>
                </c:pt>
                <c:pt idx="72">
                  <c:v>1.0837341259056279</c:v>
                </c:pt>
                <c:pt idx="73">
                  <c:v>1.0208209080431003</c:v>
                </c:pt>
                <c:pt idx="74">
                  <c:v>0.96155995914870929</c:v>
                </c:pt>
                <c:pt idx="75">
                  <c:v>0.90573924100154657</c:v>
                </c:pt>
                <c:pt idx="76">
                  <c:v>0.85315903190041664</c:v>
                </c:pt>
                <c:pt idx="77">
                  <c:v>0.80363120967376078</c:v>
                </c:pt>
                <c:pt idx="78">
                  <c:v>0.75697857649568212</c:v>
                </c:pt>
                <c:pt idx="79">
                  <c:v>0.71303422322855547</c:v>
                </c:pt>
                <c:pt idx="80">
                  <c:v>0.6716409310423439</c:v>
                </c:pt>
                <c:pt idx="81">
                  <c:v>0.63265060812604834</c:v>
                </c:pt>
                <c:pt idx="82">
                  <c:v>0.59592375939809394</c:v>
                </c:pt>
                <c:pt idx="83">
                  <c:v>0.56132898723030566</c:v>
                </c:pt>
                <c:pt idx="84">
                  <c:v>0.52874252131607857</c:v>
                </c:pt>
                <c:pt idx="85">
                  <c:v>0.49804777593084437</c:v>
                </c:pt>
                <c:pt idx="86">
                  <c:v>0.46913493294730962</c:v>
                </c:pt>
                <c:pt idx="87">
                  <c:v>0.44190054907625365</c:v>
                </c:pt>
                <c:pt idx="88">
                  <c:v>0.41624718590438975</c:v>
                </c:pt>
                <c:pt idx="89">
                  <c:v>0.39208306139342136</c:v>
                </c:pt>
                <c:pt idx="90">
                  <c:v>0.3693217215891596</c:v>
                </c:pt>
                <c:pt idx="91">
                  <c:v>0.34788173136703981</c:v>
                </c:pt>
                <c:pt idx="92">
                  <c:v>0.32768638311136999</c:v>
                </c:pt>
                <c:pt idx="93">
                  <c:v>0.30866342229102428</c:v>
                </c:pt>
                <c:pt idx="94">
                  <c:v>0.29074478895483025</c:v>
                </c:pt>
                <c:pt idx="95">
                  <c:v>0.27386637422627724</c:v>
                </c:pt>
                <c:pt idx="96">
                  <c:v>0.2579677909299406</c:v>
                </c:pt>
                <c:pt idx="97">
                  <c:v>0.24299215753160813</c:v>
                </c:pt>
                <c:pt idx="98">
                  <c:v>0.22888589462083853</c:v>
                </c:pt>
                <c:pt idx="99">
                  <c:v>0.21559853320882044</c:v>
                </c:pt>
                <c:pt idx="100">
                  <c:v>0.20308253415612185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A8-431D-BBA3-5DD39F7F2B62}"/>
            </c:ext>
          </c:extLst>
        </c:ser>
        <c:ser>
          <c:idx val="4"/>
          <c:order val="4"/>
          <c:tx>
            <c:strRef>
              <c:f>Loggerhead!$G$11</c:f>
              <c:strCache>
                <c:ptCount val="1"/>
                <c:pt idx="0">
                  <c:v>Ad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Loggerhead!$B$12:$B$112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Loggerhead!$G$12:$G$112</c:f>
              <c:numCache>
                <c:formatCode>0</c:formatCode>
                <c:ptCount val="101"/>
                <c:pt idx="0">
                  <c:v>20</c:v>
                </c:pt>
                <c:pt idx="1">
                  <c:v>34.480000000000004</c:v>
                </c:pt>
                <c:pt idx="2">
                  <c:v>40.722620000000006</c:v>
                </c:pt>
                <c:pt idx="3">
                  <c:v>41.962504080000009</c:v>
                </c:pt>
                <c:pt idx="4">
                  <c:v>40.320392732020011</c:v>
                </c:pt>
                <c:pt idx="5">
                  <c:v>37.188522787156892</c:v>
                </c:pt>
                <c:pt idx="6">
                  <c:v>33.479623811469281</c:v>
                </c:pt>
                <c:pt idx="7">
                  <c:v>29.765590356683248</c:v>
                </c:pt>
                <c:pt idx="8">
                  <c:v>26.371297470680268</c:v>
                </c:pt>
                <c:pt idx="9">
                  <c:v>23.447056581083199</c:v>
                </c:pt>
                <c:pt idx="10">
                  <c:v>21.026844508829559</c:v>
                </c:pt>
                <c:pt idx="11">
                  <c:v>19.074183838694022</c:v>
                </c:pt>
                <c:pt idx="12">
                  <c:v>17.516527717911611</c:v>
                </c:pt>
                <c:pt idx="13">
                  <c:v>16.269294385637039</c:v>
                </c:pt>
                <c:pt idx="14">
                  <c:v>15.251161251596118</c:v>
                </c:pt>
                <c:pt idx="15">
                  <c:v>14.392490459095283</c:v>
                </c:pt>
                <c:pt idx="16">
                  <c:v>13.638762123539232</c:v>
                </c:pt>
                <c:pt idx="17">
                  <c:v>12.950697911138937</c:v>
                </c:pt>
                <c:pt idx="18">
                  <c:v>12.302452315608448</c:v>
                </c:pt>
                <c:pt idx="19">
                  <c:v>11.678907451686387</c:v>
                </c:pt>
                <c:pt idx="20">
                  <c:v>11.072782975070066</c:v>
                </c:pt>
                <c:pt idx="21">
                  <c:v>10.481997113231794</c:v>
                </c:pt>
                <c:pt idx="22">
                  <c:v>9.9075008874525778</c:v>
                </c:pt>
                <c:pt idx="23">
                  <c:v>9.3516558353407646</c:v>
                </c:pt>
                <c:pt idx="24">
                  <c:v>8.8171286198363905</c:v>
                </c:pt>
                <c:pt idx="25">
                  <c:v>8.3062228694961409</c:v>
                </c:pt>
                <c:pt idx="26">
                  <c:v>7.8205476433586441</c:v>
                </c:pt>
                <c:pt idx="27">
                  <c:v>7.3609222222824471</c:v>
                </c:pt>
                <c:pt idx="28">
                  <c:v>6.9274295635127618</c:v>
                </c:pt>
                <c:pt idx="29">
                  <c:v>6.5195489909184001</c:v>
                </c:pt>
                <c:pt idx="30">
                  <c:v>6.1363179226422968</c:v>
                </c:pt>
                <c:pt idx="31">
                  <c:v>5.7764898573919377</c:v>
                </c:pt>
                <c:pt idx="32">
                  <c:v>5.4386700440819764</c:v>
                </c:pt>
                <c:pt idx="33">
                  <c:v>5.1214208282835756</c:v>
                </c:pt>
                <c:pt idx="34">
                  <c:v>4.8233358106421038</c:v>
                </c:pt>
                <c:pt idx="35">
                  <c:v>4.5430862134835843</c:v>
                </c:pt>
                <c:pt idx="36">
                  <c:v>4.2794449078295971</c:v>
                </c:pt>
                <c:pt idx="37">
                  <c:v>4.0312940708541136</c:v>
                </c:pt>
                <c:pt idx="38">
                  <c:v>3.7976220024428349</c:v>
                </c:pt>
                <c:pt idx="39">
                  <c:v>3.5775136849334532</c:v>
                </c:pt>
                <c:pt idx="40">
                  <c:v>3.3701385501060601</c:v>
                </c:pt>
                <c:pt idx="41">
                  <c:v>3.1747378345508031</c:v>
                </c:pt>
                <c:pt idx="42">
                  <c:v>2.9906129776957675</c:v>
                </c:pt>
                <c:pt idx="43">
                  <c:v>2.8171157959028927</c:v>
                </c:pt>
                <c:pt idx="44">
                  <c:v>2.6536406545726923</c:v>
                </c:pt>
                <c:pt idx="45">
                  <c:v>2.4996185341359181</c:v>
                </c:pt>
                <c:pt idx="46">
                  <c:v>2.3545127081618911</c:v>
                </c:pt>
                <c:pt idx="47">
                  <c:v>2.217815682625655</c:v>
                </c:pt>
                <c:pt idx="48">
                  <c:v>2.0890470479330614</c:v>
                </c:pt>
                <c:pt idx="49">
                  <c:v>1.9677519393304586</c:v>
                </c:pt>
                <c:pt idx="50">
                  <c:v>1.8534998640575302</c:v>
                </c:pt>
                <c:pt idx="51">
                  <c:v>1.7458837194668129</c:v>
                </c:pt>
                <c:pt idx="52">
                  <c:v>1.6445188858803219</c:v>
                </c:pt>
                <c:pt idx="53">
                  <c:v>1.5490423264657438</c:v>
                </c:pt>
                <c:pt idx="54">
                  <c:v>1.4591116625155565</c:v>
                </c:pt>
                <c:pt idx="55">
                  <c:v>1.3744042169405484</c:v>
                </c:pt>
                <c:pt idx="56">
                  <c:v>1.2946160334217014</c:v>
                </c:pt>
                <c:pt idx="57">
                  <c:v>1.2194608858080287</c:v>
                </c:pt>
                <c:pt idx="58">
                  <c:v>1.1486692942731955</c:v>
                </c:pt>
                <c:pt idx="59">
                  <c:v>1.0819875634180267</c:v>
                </c:pt>
                <c:pt idx="60">
                  <c:v>1.0191768544763353</c:v>
                </c:pt>
                <c:pt idx="61">
                  <c:v>0.96001230015822148</c:v>
                </c:pt>
                <c:pt idx="62">
                  <c:v>0.90428216716657173</c:v>
                </c:pt>
                <c:pt idx="63">
                  <c:v>0.85178706845030061</c:v>
                </c:pt>
                <c:pt idx="64">
                  <c:v>0.80233922497899091</c:v>
                </c:pt>
                <c:pt idx="65">
                  <c:v>0.75576177524807386</c:v>
                </c:pt>
                <c:pt idx="66">
                  <c:v>0.71188812976909666</c:v>
                </c:pt>
                <c:pt idx="67">
                  <c:v>0.67056136733993588</c:v>
                </c:pt>
                <c:pt idx="68">
                  <c:v>0.63163366978939439</c:v>
                </c:pt>
                <c:pt idx="69">
                  <c:v>0.59496579202510969</c:v>
                </c:pt>
                <c:pt idx="70">
                  <c:v>0.56042656448079609</c:v>
                </c:pt>
                <c:pt idx="71">
                  <c:v>0.5278924253818299</c:v>
                </c:pt>
                <c:pt idx="72">
                  <c:v>0.49724698057478645</c:v>
                </c:pt>
                <c:pt idx="73">
                  <c:v>0.46838058896524554</c:v>
                </c:pt>
                <c:pt idx="74">
                  <c:v>0.44118997186351278</c:v>
                </c:pt>
                <c:pt idx="75">
                  <c:v>0.41557784474565312</c:v>
                </c:pt>
                <c:pt idx="76">
                  <c:v>0.39145257010032775</c:v>
                </c:pt>
                <c:pt idx="77">
                  <c:v>0.36872783015709054</c:v>
                </c:pt>
                <c:pt idx="78">
                  <c:v>0.34732231838718569</c:v>
                </c:pt>
                <c:pt idx="79">
                  <c:v>0.32715944874146985</c:v>
                </c:pt>
                <c:pt idx="80">
                  <c:v>0.30816708164879097</c:v>
                </c:pt>
                <c:pt idx="81">
                  <c:v>0.29027726584745489</c:v>
                </c:pt>
                <c:pt idx="82">
                  <c:v>0.27342599516627997</c:v>
                </c:pt>
                <c:pt idx="83">
                  <c:v>0.25755297941280425</c:v>
                </c:pt>
                <c:pt idx="84">
                  <c:v>0.24260142856600728</c:v>
                </c:pt>
                <c:pt idx="85">
                  <c:v>0.2285178495101807</c:v>
                </c:pt>
                <c:pt idx="86">
                  <c:v>0.21525185458551771</c:v>
                </c:pt>
                <c:pt idx="87">
                  <c:v>0.20275598126946973</c:v>
                </c:pt>
                <c:pt idx="88">
                  <c:v>0.1909855223406525</c:v>
                </c:pt>
                <c:pt idx="89">
                  <c:v>0.17989836591375566</c:v>
                </c:pt>
                <c:pt idx="90">
                  <c:v>0.16945484476922706</c:v>
                </c:pt>
                <c:pt idx="91">
                  <c:v>0.15961759443524343</c:v>
                </c:pt>
                <c:pt idx="92">
                  <c:v>0.15035141951150138</c:v>
                </c:pt>
                <c:pt idx="93">
                  <c:v>0.14162316775459818</c:v>
                </c:pt>
                <c:pt idx="94">
                  <c:v>0.13340161147322241</c:v>
                </c:pt>
                <c:pt idx="95">
                  <c:v>0.12565733580808158</c:v>
                </c:pt>
                <c:pt idx="96">
                  <c:v>0.11836263349654091</c:v>
                </c:pt>
                <c:pt idx="97">
                  <c:v>0.11149140574542798</c:v>
                </c:pt>
                <c:pt idx="98">
                  <c:v>0.10501906885747934</c:v>
                </c:pt>
                <c:pt idx="99">
                  <c:v>9.8922466277571952E-2</c:v>
                </c:pt>
                <c:pt idx="100">
                  <c:v>9.3179785744293753E-2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A8-431D-BBA3-5DD39F7F2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22959"/>
        <c:axId val="480030896"/>
      </c:scatterChart>
      <c:valAx>
        <c:axId val="35412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30896"/>
        <c:crosses val="autoZero"/>
        <c:crossBetween val="midCat"/>
      </c:valAx>
      <c:valAx>
        <c:axId val="48003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2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917575</xdr:colOff>
      <xdr:row>10</xdr:row>
      <xdr:rowOff>88899</xdr:rowOff>
    </xdr:from>
    <xdr:to>
      <xdr:col>16</xdr:col>
      <xdr:colOff>85725</xdr:colOff>
      <xdr:row>26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E3FC9-4327-23E9-3BE2-121028B1A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2"/>
  <sheetViews>
    <sheetView tabSelected="1" topLeftCell="B1" workbookViewId="0">
      <selection activeCell="I8" sqref="I8"/>
    </sheetView>
  </sheetViews>
  <sheetFormatPr defaultColWidth="11" defaultRowHeight="18" x14ac:dyDescent="0.25"/>
  <cols>
    <col min="1" max="1" width="11" style="1"/>
    <col min="2" max="2" width="17.33203125" style="1" customWidth="1"/>
    <col min="3" max="7" width="13.5" style="1" customWidth="1"/>
    <col min="8" max="8" width="23.1640625" style="1" customWidth="1"/>
    <col min="9" max="9" width="34.1640625" style="1" customWidth="1"/>
    <col min="10" max="10" width="36" style="1" customWidth="1"/>
    <col min="11" max="11" width="19.6640625" style="1" customWidth="1"/>
    <col min="12" max="13" width="11" style="1"/>
    <col min="14" max="18" width="12.33203125" style="1" customWidth="1"/>
    <col min="19" max="16384" width="11" style="1"/>
  </cols>
  <sheetData>
    <row r="1" spans="1:20" x14ac:dyDescent="0.25">
      <c r="B1" s="1" t="s">
        <v>1</v>
      </c>
      <c r="D1" s="2"/>
      <c r="E1" s="2"/>
      <c r="G1" s="2"/>
      <c r="H1" s="2"/>
    </row>
    <row r="2" spans="1:20" x14ac:dyDescent="0.25">
      <c r="C2" s="10" t="s">
        <v>2</v>
      </c>
      <c r="D2" s="10"/>
      <c r="E2" s="10"/>
      <c r="F2" s="10"/>
      <c r="G2" s="10"/>
      <c r="H2" s="7"/>
      <c r="I2" s="11"/>
      <c r="J2" s="2" t="s">
        <v>11</v>
      </c>
      <c r="K2" s="1">
        <v>76.5</v>
      </c>
      <c r="N2" s="1" t="s">
        <v>13</v>
      </c>
    </row>
    <row r="3" spans="1:20" ht="18.75" thickBot="1" x14ac:dyDescent="0.3">
      <c r="C3" s="2" t="s">
        <v>12</v>
      </c>
      <c r="D3" s="3" t="s">
        <v>4</v>
      </c>
      <c r="E3" s="3" t="s">
        <v>5</v>
      </c>
      <c r="F3" s="3" t="s">
        <v>6</v>
      </c>
      <c r="G3" s="3" t="s">
        <v>7</v>
      </c>
      <c r="I3" s="11"/>
      <c r="J3" s="2" t="s">
        <v>10</v>
      </c>
      <c r="K3" s="1">
        <v>0.67500000000000004</v>
      </c>
      <c r="N3" s="2" t="s">
        <v>12</v>
      </c>
      <c r="O3" s="4" t="s">
        <v>4</v>
      </c>
      <c r="P3" s="4" t="s">
        <v>5</v>
      </c>
      <c r="Q3" s="4" t="s">
        <v>6</v>
      </c>
      <c r="R3" s="4" t="s">
        <v>7</v>
      </c>
    </row>
    <row r="4" spans="1:20" ht="26.45" customHeight="1" thickTop="1" thickBot="1" x14ac:dyDescent="0.3">
      <c r="A4" s="9" t="s">
        <v>3</v>
      </c>
      <c r="B4" s="3" t="s">
        <v>12</v>
      </c>
      <c r="C4" s="5">
        <f>N4</f>
        <v>0</v>
      </c>
      <c r="D4" s="5">
        <f t="shared" ref="D4:G4" si="0">O4</f>
        <v>0</v>
      </c>
      <c r="E4" s="5">
        <f t="shared" si="0"/>
        <v>0</v>
      </c>
      <c r="F4" s="5">
        <f t="shared" si="0"/>
        <v>0</v>
      </c>
      <c r="G4" s="5">
        <f>R4</f>
        <v>51.637500000000003</v>
      </c>
      <c r="J4" s="2"/>
      <c r="M4" s="4" t="s">
        <v>12</v>
      </c>
      <c r="N4" s="5">
        <v>0</v>
      </c>
      <c r="O4" s="5">
        <v>0</v>
      </c>
      <c r="P4" s="5">
        <v>0</v>
      </c>
      <c r="Q4" s="5">
        <v>0</v>
      </c>
      <c r="R4" s="5">
        <f>K2*K3</f>
        <v>51.637500000000003</v>
      </c>
      <c r="T4" s="1" t="s">
        <v>16</v>
      </c>
    </row>
    <row r="5" spans="1:20" ht="26.45" customHeight="1" thickTop="1" thickBot="1" x14ac:dyDescent="0.3">
      <c r="A5" s="9"/>
      <c r="B5" s="3" t="s">
        <v>4</v>
      </c>
      <c r="C5" s="5">
        <f t="shared" ref="C5:C8" si="1">N5</f>
        <v>0.75</v>
      </c>
      <c r="D5" s="5">
        <f t="shared" ref="D5:D8" si="2">O5</f>
        <v>0.7</v>
      </c>
      <c r="E5" s="5">
        <f t="shared" ref="E5:E8" si="3">P5</f>
        <v>0</v>
      </c>
      <c r="F5" s="5">
        <f t="shared" ref="F5:F8" si="4">Q5</f>
        <v>0</v>
      </c>
      <c r="G5" s="5">
        <f t="shared" ref="G5:G8" si="5">R5</f>
        <v>0</v>
      </c>
      <c r="I5" s="2" t="s">
        <v>14</v>
      </c>
      <c r="M5" s="4" t="s">
        <v>4</v>
      </c>
      <c r="N5" s="5">
        <v>0.75</v>
      </c>
      <c r="O5" s="5">
        <v>0.7</v>
      </c>
      <c r="P5" s="5">
        <v>0</v>
      </c>
      <c r="Q5" s="5">
        <v>0</v>
      </c>
      <c r="R5" s="5">
        <v>0</v>
      </c>
      <c r="T5" s="1">
        <f>P7/P9</f>
        <v>2.8106508875739643E-2</v>
      </c>
    </row>
    <row r="6" spans="1:20" ht="26.45" customHeight="1" thickTop="1" thickBot="1" x14ac:dyDescent="0.3">
      <c r="A6" s="9"/>
      <c r="B6" s="3" t="s">
        <v>5</v>
      </c>
      <c r="C6" s="5">
        <f t="shared" si="1"/>
        <v>0</v>
      </c>
      <c r="D6" s="5">
        <f t="shared" si="2"/>
        <v>0.05</v>
      </c>
      <c r="E6" s="5">
        <f>(P9+I6)*(1-T5)</f>
        <v>0.65700000000000003</v>
      </c>
      <c r="F6" s="5">
        <f t="shared" si="4"/>
        <v>0</v>
      </c>
      <c r="G6" s="5">
        <f t="shared" si="5"/>
        <v>0</v>
      </c>
      <c r="I6" s="1">
        <v>0</v>
      </c>
      <c r="M6" s="4" t="s">
        <v>5</v>
      </c>
      <c r="N6" s="5">
        <v>0</v>
      </c>
      <c r="O6" s="5">
        <v>0.05</v>
      </c>
      <c r="P6" s="5">
        <v>0.65700000000000003</v>
      </c>
      <c r="Q6" s="5">
        <v>0</v>
      </c>
      <c r="R6" s="5">
        <v>0</v>
      </c>
      <c r="T6" s="1" t="s">
        <v>17</v>
      </c>
    </row>
    <row r="7" spans="1:20" ht="26.45" customHeight="1" thickTop="1" thickBot="1" x14ac:dyDescent="0.3">
      <c r="A7" s="9"/>
      <c r="B7" s="3" t="s">
        <v>6</v>
      </c>
      <c r="C7" s="5">
        <f t="shared" si="1"/>
        <v>0</v>
      </c>
      <c r="D7" s="5">
        <f t="shared" si="2"/>
        <v>0</v>
      </c>
      <c r="E7" s="5">
        <f>(P9+I6)*T5</f>
        <v>1.9E-2</v>
      </c>
      <c r="F7" s="5">
        <f>(Q9+I7)*(1-T7)</f>
        <v>0.68200000000000016</v>
      </c>
      <c r="G7" s="5">
        <f t="shared" si="5"/>
        <v>0</v>
      </c>
      <c r="I7" s="1">
        <v>0</v>
      </c>
      <c r="M7" s="4" t="s">
        <v>6</v>
      </c>
      <c r="N7" s="5">
        <v>0</v>
      </c>
      <c r="O7" s="5">
        <v>0</v>
      </c>
      <c r="P7" s="5">
        <v>1.9E-2</v>
      </c>
      <c r="Q7" s="5">
        <v>0.68200000000000005</v>
      </c>
      <c r="R7" s="5">
        <v>0</v>
      </c>
      <c r="T7" s="1">
        <f>Q8/Q9</f>
        <v>8.2099596231493932E-2</v>
      </c>
    </row>
    <row r="8" spans="1:20" ht="26.45" customHeight="1" thickTop="1" thickBot="1" x14ac:dyDescent="0.3">
      <c r="A8" s="9"/>
      <c r="B8" s="3" t="s">
        <v>7</v>
      </c>
      <c r="C8" s="5">
        <f t="shared" si="1"/>
        <v>0</v>
      </c>
      <c r="D8" s="5">
        <f t="shared" si="2"/>
        <v>0</v>
      </c>
      <c r="E8" s="5">
        <f t="shared" si="3"/>
        <v>0</v>
      </c>
      <c r="F8" s="5">
        <f>(Q9+I7)*T7</f>
        <v>6.0999999999999999E-2</v>
      </c>
      <c r="G8" s="5">
        <f>R9+I8</f>
        <v>0.80900000000000005</v>
      </c>
      <c r="I8" s="1">
        <v>0</v>
      </c>
      <c r="M8" s="4" t="s">
        <v>7</v>
      </c>
      <c r="N8" s="5">
        <v>0</v>
      </c>
      <c r="O8" s="5">
        <v>0</v>
      </c>
      <c r="P8" s="5">
        <v>0</v>
      </c>
      <c r="Q8" s="5">
        <v>6.0999999999999999E-2</v>
      </c>
      <c r="R8" s="5">
        <v>0.80900000000000005</v>
      </c>
    </row>
    <row r="9" spans="1:20" ht="18.75" thickTop="1" x14ac:dyDescent="0.25">
      <c r="A9" s="8"/>
      <c r="C9" s="1">
        <f>SUM(C5:C8)</f>
        <v>0.75</v>
      </c>
      <c r="D9" s="1">
        <f>SUM(D5:D8)</f>
        <v>0.75</v>
      </c>
      <c r="E9" s="1">
        <f t="shared" ref="E9" si="6">SUM(E5:E8)</f>
        <v>0.67600000000000005</v>
      </c>
      <c r="F9" s="1">
        <f t="shared" ref="F9" si="7">SUM(F5:F8)</f>
        <v>0.7430000000000001</v>
      </c>
      <c r="G9" s="1">
        <f t="shared" ref="G9" si="8">SUM(G5:G8)</f>
        <v>0.80900000000000005</v>
      </c>
      <c r="H9" s="1" t="s">
        <v>15</v>
      </c>
      <c r="N9" s="1">
        <f>SUM(N5:N8)</f>
        <v>0.75</v>
      </c>
      <c r="O9" s="1">
        <f>SUM(O5:O8)</f>
        <v>0.75</v>
      </c>
      <c r="P9" s="1">
        <f t="shared" ref="P9:R9" si="9">SUM(P5:P8)</f>
        <v>0.67600000000000005</v>
      </c>
      <c r="Q9" s="1">
        <f t="shared" si="9"/>
        <v>0.7430000000000001</v>
      </c>
      <c r="R9" s="1">
        <f t="shared" si="9"/>
        <v>0.80900000000000005</v>
      </c>
      <c r="S9" s="1" t="s">
        <v>15</v>
      </c>
    </row>
    <row r="11" spans="1:20" x14ac:dyDescent="0.25">
      <c r="B11" s="2" t="s">
        <v>0</v>
      </c>
      <c r="C11" s="2" t="s">
        <v>12</v>
      </c>
      <c r="D11" s="2" t="s">
        <v>4</v>
      </c>
      <c r="E11" s="2" t="s">
        <v>5</v>
      </c>
      <c r="F11" s="2" t="s">
        <v>8</v>
      </c>
      <c r="G11" s="2" t="s">
        <v>7</v>
      </c>
      <c r="I11" s="2" t="s">
        <v>9</v>
      </c>
    </row>
    <row r="12" spans="1:20" x14ac:dyDescent="0.25">
      <c r="B12" s="1">
        <v>0</v>
      </c>
      <c r="C12" s="6">
        <v>400</v>
      </c>
      <c r="D12" s="6">
        <v>700</v>
      </c>
      <c r="E12" s="6">
        <v>300</v>
      </c>
      <c r="F12" s="6">
        <v>300</v>
      </c>
      <c r="G12" s="6">
        <v>20</v>
      </c>
      <c r="I12" s="6">
        <f>SUM(C12:G12)</f>
        <v>1720</v>
      </c>
    </row>
    <row r="13" spans="1:20" x14ac:dyDescent="0.25">
      <c r="B13" s="1">
        <v>1</v>
      </c>
      <c r="C13" s="6">
        <f>G12*$G$4</f>
        <v>1032.75</v>
      </c>
      <c r="D13" s="6">
        <f>C12*$C$5+D12*$D$5</f>
        <v>790</v>
      </c>
      <c r="E13" s="6">
        <f>D12*$D$6+E12*$E$6</f>
        <v>232.10000000000002</v>
      </c>
      <c r="F13" s="6">
        <f>E12*$E$7+F12*$F$7</f>
        <v>210.30000000000004</v>
      </c>
      <c r="G13" s="6">
        <f>F12*$F$8+G12*$G$8</f>
        <v>34.480000000000004</v>
      </c>
      <c r="I13" s="6">
        <f t="shared" ref="I13:I76" si="10">SUM(C13:G13)</f>
        <v>2299.63</v>
      </c>
    </row>
    <row r="14" spans="1:20" x14ac:dyDescent="0.25">
      <c r="B14" s="1">
        <v>2</v>
      </c>
      <c r="C14" s="6">
        <f t="shared" ref="C14:C77" si="11">G13*$G$4</f>
        <v>1780.4610000000002</v>
      </c>
      <c r="D14" s="6">
        <f t="shared" ref="D14:D77" si="12">C13*$C$5+D13*$D$5</f>
        <v>1327.5625</v>
      </c>
      <c r="E14" s="6">
        <f t="shared" ref="E14:E77" si="13">D13*$D$6+E13*$E$6</f>
        <v>191.98970000000003</v>
      </c>
      <c r="F14" s="6">
        <f t="shared" ref="F14:F77" si="14">E13*$E$7+F13*$F$7</f>
        <v>147.83450000000005</v>
      </c>
      <c r="G14" s="6">
        <f t="shared" ref="G14:G77" si="15">F13*$F$8+G13*$G$8</f>
        <v>40.722620000000006</v>
      </c>
      <c r="I14" s="6">
        <f t="shared" si="10"/>
        <v>3488.5703200000003</v>
      </c>
    </row>
    <row r="15" spans="1:20" x14ac:dyDescent="0.25">
      <c r="B15" s="1">
        <v>3</v>
      </c>
      <c r="C15" s="6">
        <f t="shared" si="11"/>
        <v>2102.8142902500003</v>
      </c>
      <c r="D15" s="6">
        <f t="shared" si="12"/>
        <v>2264.6395000000002</v>
      </c>
      <c r="E15" s="6">
        <f t="shared" si="13"/>
        <v>192.51535790000003</v>
      </c>
      <c r="F15" s="6">
        <f t="shared" si="14"/>
        <v>104.47093330000006</v>
      </c>
      <c r="G15" s="6">
        <f t="shared" si="15"/>
        <v>41.962504080000009</v>
      </c>
      <c r="I15" s="6">
        <f t="shared" si="10"/>
        <v>4706.4025855300006</v>
      </c>
    </row>
    <row r="16" spans="1:20" x14ac:dyDescent="0.25">
      <c r="B16" s="1">
        <v>4</v>
      </c>
      <c r="C16" s="6">
        <f t="shared" si="11"/>
        <v>2166.8388044310004</v>
      </c>
      <c r="D16" s="6">
        <f t="shared" si="12"/>
        <v>3162.3583676875005</v>
      </c>
      <c r="E16" s="6">
        <f t="shared" si="13"/>
        <v>239.71456514030004</v>
      </c>
      <c r="F16" s="6">
        <f t="shared" si="14"/>
        <v>74.906968310700051</v>
      </c>
      <c r="G16" s="6">
        <f t="shared" si="15"/>
        <v>40.320392732020011</v>
      </c>
      <c r="I16" s="6">
        <f t="shared" si="10"/>
        <v>5684.1390983015208</v>
      </c>
    </row>
    <row r="17" spans="2:9" x14ac:dyDescent="0.25">
      <c r="B17" s="1">
        <v>5</v>
      </c>
      <c r="C17" s="6">
        <f t="shared" si="11"/>
        <v>2082.0442796996836</v>
      </c>
      <c r="D17" s="6">
        <f t="shared" si="12"/>
        <v>3838.7799607045008</v>
      </c>
      <c r="E17" s="6">
        <f t="shared" si="13"/>
        <v>315.6103876815522</v>
      </c>
      <c r="F17" s="6">
        <f t="shared" si="14"/>
        <v>55.641129125563147</v>
      </c>
      <c r="G17" s="6">
        <f t="shared" si="15"/>
        <v>37.188522787156892</v>
      </c>
      <c r="I17" s="6">
        <f t="shared" si="10"/>
        <v>6329.2642799984578</v>
      </c>
    </row>
    <row r="18" spans="2:9" x14ac:dyDescent="0.25">
      <c r="B18" s="1">
        <v>6</v>
      </c>
      <c r="C18" s="6">
        <f t="shared" si="11"/>
        <v>1920.3223454218141</v>
      </c>
      <c r="D18" s="6">
        <f t="shared" si="12"/>
        <v>4248.6791822679133</v>
      </c>
      <c r="E18" s="6">
        <f t="shared" si="13"/>
        <v>399.29502274200485</v>
      </c>
      <c r="F18" s="6">
        <f t="shared" si="14"/>
        <v>43.943847429583563</v>
      </c>
      <c r="G18" s="6">
        <f t="shared" si="15"/>
        <v>33.479623811469281</v>
      </c>
      <c r="I18" s="6">
        <f t="shared" si="10"/>
        <v>6645.7200216727861</v>
      </c>
    </row>
    <row r="19" spans="2:9" x14ac:dyDescent="0.25">
      <c r="B19" s="1">
        <v>7</v>
      </c>
      <c r="C19" s="6">
        <f t="shared" si="11"/>
        <v>1728.8040745647452</v>
      </c>
      <c r="D19" s="6">
        <f t="shared" si="12"/>
        <v>4414.3171866538996</v>
      </c>
      <c r="E19" s="6">
        <f t="shared" si="13"/>
        <v>474.77078905489282</v>
      </c>
      <c r="F19" s="6">
        <f t="shared" si="14"/>
        <v>37.556309379074087</v>
      </c>
      <c r="G19" s="6">
        <f t="shared" si="15"/>
        <v>29.765590356683248</v>
      </c>
      <c r="I19" s="6">
        <f t="shared" si="10"/>
        <v>6685.2139500092944</v>
      </c>
    </row>
    <row r="20" spans="2:9" x14ac:dyDescent="0.25">
      <c r="B20" s="1">
        <v>8</v>
      </c>
      <c r="C20" s="6">
        <f t="shared" si="11"/>
        <v>1537.0206720432313</v>
      </c>
      <c r="D20" s="6">
        <f t="shared" si="12"/>
        <v>4386.6250865812881</v>
      </c>
      <c r="E20" s="6">
        <f t="shared" si="13"/>
        <v>532.64026774175954</v>
      </c>
      <c r="F20" s="6">
        <f t="shared" si="14"/>
        <v>34.634047988571496</v>
      </c>
      <c r="G20" s="6">
        <f t="shared" si="15"/>
        <v>26.371297470680268</v>
      </c>
      <c r="I20" s="6">
        <f t="shared" si="10"/>
        <v>6517.2913718255304</v>
      </c>
    </row>
    <row r="21" spans="2:9" x14ac:dyDescent="0.25">
      <c r="B21" s="1">
        <v>9</v>
      </c>
      <c r="C21" s="6">
        <f t="shared" si="11"/>
        <v>1361.7478731422525</v>
      </c>
      <c r="D21" s="6">
        <f t="shared" si="12"/>
        <v>4223.4030646393248</v>
      </c>
      <c r="E21" s="6">
        <f t="shared" si="13"/>
        <v>569.27591023540049</v>
      </c>
      <c r="F21" s="6">
        <f t="shared" si="14"/>
        <v>33.740585815299198</v>
      </c>
      <c r="G21" s="6">
        <f t="shared" si="15"/>
        <v>23.447056581083199</v>
      </c>
      <c r="I21" s="6">
        <f t="shared" si="10"/>
        <v>6211.6144904133598</v>
      </c>
    </row>
    <row r="22" spans="2:9" x14ac:dyDescent="0.25">
      <c r="B22" s="1">
        <v>10</v>
      </c>
      <c r="C22" s="6">
        <f t="shared" si="11"/>
        <v>1210.7473842056838</v>
      </c>
      <c r="D22" s="6">
        <f t="shared" si="12"/>
        <v>3977.6930501042166</v>
      </c>
      <c r="E22" s="6">
        <f t="shared" si="13"/>
        <v>585.18442625662442</v>
      </c>
      <c r="F22" s="6">
        <f t="shared" si="14"/>
        <v>33.827321820506668</v>
      </c>
      <c r="G22" s="6">
        <f t="shared" si="15"/>
        <v>21.026844508829559</v>
      </c>
      <c r="I22" s="6">
        <f t="shared" si="10"/>
        <v>5828.4790268958614</v>
      </c>
    </row>
    <row r="23" spans="2:9" x14ac:dyDescent="0.25">
      <c r="B23" s="1">
        <v>11</v>
      </c>
      <c r="C23" s="6">
        <f t="shared" si="11"/>
        <v>1085.7736833246863</v>
      </c>
      <c r="D23" s="6">
        <f t="shared" si="12"/>
        <v>3692.4456732272142</v>
      </c>
      <c r="E23" s="6">
        <f t="shared" si="13"/>
        <v>583.35082055581313</v>
      </c>
      <c r="F23" s="6">
        <f t="shared" si="14"/>
        <v>34.188737580461421</v>
      </c>
      <c r="G23" s="6">
        <f t="shared" si="15"/>
        <v>19.074183838694022</v>
      </c>
      <c r="I23" s="6">
        <f t="shared" si="10"/>
        <v>5414.8330985268694</v>
      </c>
    </row>
    <row r="24" spans="2:9" x14ac:dyDescent="0.25">
      <c r="B24" s="1">
        <v>12</v>
      </c>
      <c r="C24" s="6">
        <f t="shared" si="11"/>
        <v>984.94316797056263</v>
      </c>
      <c r="D24" s="6">
        <f t="shared" si="12"/>
        <v>3399.0422337525642</v>
      </c>
      <c r="E24" s="6">
        <f t="shared" si="13"/>
        <v>567.88377276653</v>
      </c>
      <c r="F24" s="6">
        <f t="shared" si="14"/>
        <v>34.40038462043514</v>
      </c>
      <c r="G24" s="6">
        <f t="shared" si="15"/>
        <v>17.516527717911611</v>
      </c>
      <c r="I24" s="6">
        <f t="shared" si="10"/>
        <v>5003.7860868280031</v>
      </c>
    </row>
    <row r="25" spans="2:9" x14ac:dyDescent="0.25">
      <c r="B25" s="1">
        <v>13</v>
      </c>
      <c r="C25" s="6">
        <f t="shared" si="11"/>
        <v>904.50970003366092</v>
      </c>
      <c r="D25" s="6">
        <f t="shared" si="12"/>
        <v>3118.0369396047167</v>
      </c>
      <c r="E25" s="6">
        <f t="shared" si="13"/>
        <v>543.0517503952384</v>
      </c>
      <c r="F25" s="6">
        <f t="shared" si="14"/>
        <v>34.250853993700844</v>
      </c>
      <c r="G25" s="6">
        <f t="shared" si="15"/>
        <v>16.269294385637039</v>
      </c>
      <c r="I25" s="6">
        <f t="shared" si="10"/>
        <v>4616.118538412954</v>
      </c>
    </row>
    <row r="26" spans="2:9" x14ac:dyDescent="0.25">
      <c r="B26" s="1">
        <v>14</v>
      </c>
      <c r="C26" s="6">
        <f t="shared" si="11"/>
        <v>840.10568883833264</v>
      </c>
      <c r="D26" s="6">
        <f t="shared" si="12"/>
        <v>2861.0081327485473</v>
      </c>
      <c r="E26" s="6">
        <f t="shared" si="13"/>
        <v>512.68684698990751</v>
      </c>
      <c r="F26" s="6">
        <f t="shared" si="14"/>
        <v>33.677065681213513</v>
      </c>
      <c r="G26" s="6">
        <f t="shared" si="15"/>
        <v>15.251161251596118</v>
      </c>
      <c r="I26" s="6">
        <f t="shared" si="10"/>
        <v>4262.7288955095974</v>
      </c>
    </row>
    <row r="27" spans="2:9" x14ac:dyDescent="0.25">
      <c r="B27" s="1">
        <v>15</v>
      </c>
      <c r="C27" s="6">
        <f t="shared" si="11"/>
        <v>787.53183912929455</v>
      </c>
      <c r="D27" s="6">
        <f t="shared" si="12"/>
        <v>2632.7849595527323</v>
      </c>
      <c r="E27" s="6">
        <f t="shared" si="13"/>
        <v>479.88566510979661</v>
      </c>
      <c r="F27" s="6">
        <f t="shared" si="14"/>
        <v>32.708808887395861</v>
      </c>
      <c r="G27" s="6">
        <f t="shared" si="15"/>
        <v>14.392490459095283</v>
      </c>
      <c r="I27" s="6">
        <f t="shared" si="10"/>
        <v>3947.3037631383145</v>
      </c>
    </row>
    <row r="28" spans="2:9" x14ac:dyDescent="0.25">
      <c r="B28" s="1">
        <v>16</v>
      </c>
      <c r="C28" s="6">
        <f t="shared" si="11"/>
        <v>743.19222608153268</v>
      </c>
      <c r="D28" s="6">
        <f t="shared" si="12"/>
        <v>2433.5983510338833</v>
      </c>
      <c r="E28" s="6">
        <f t="shared" si="13"/>
        <v>446.92412995477298</v>
      </c>
      <c r="F28" s="6">
        <f t="shared" si="14"/>
        <v>31.425235298290119</v>
      </c>
      <c r="G28" s="6">
        <f t="shared" si="15"/>
        <v>13.638762123539232</v>
      </c>
      <c r="I28" s="6">
        <f t="shared" si="10"/>
        <v>3668.7787044920187</v>
      </c>
    </row>
    <row r="29" spans="2:9" x14ac:dyDescent="0.25">
      <c r="B29" s="1">
        <v>17</v>
      </c>
      <c r="C29" s="6">
        <f t="shared" si="11"/>
        <v>704.2715791542571</v>
      </c>
      <c r="D29" s="6">
        <f t="shared" si="12"/>
        <v>2260.9130152848675</v>
      </c>
      <c r="E29" s="6">
        <f t="shared" si="13"/>
        <v>415.30907093198005</v>
      </c>
      <c r="F29" s="6">
        <f t="shared" si="14"/>
        <v>29.923568942574555</v>
      </c>
      <c r="G29" s="6">
        <f t="shared" si="15"/>
        <v>12.950697911138937</v>
      </c>
      <c r="I29" s="6">
        <f t="shared" si="10"/>
        <v>3423.3679322248177</v>
      </c>
    </row>
    <row r="30" spans="2:9" x14ac:dyDescent="0.25">
      <c r="B30" s="1">
        <v>18</v>
      </c>
      <c r="C30" s="6">
        <f t="shared" si="11"/>
        <v>668.74166338643693</v>
      </c>
      <c r="D30" s="6">
        <f t="shared" si="12"/>
        <v>2110.8427950651003</v>
      </c>
      <c r="E30" s="6">
        <f t="shared" si="13"/>
        <v>385.90371036655426</v>
      </c>
      <c r="F30" s="6">
        <f t="shared" si="14"/>
        <v>28.298746366543472</v>
      </c>
      <c r="G30" s="6">
        <f t="shared" si="15"/>
        <v>12.302452315608448</v>
      </c>
      <c r="I30" s="6">
        <f t="shared" si="10"/>
        <v>3206.0893675002435</v>
      </c>
    </row>
    <row r="31" spans="2:9" x14ac:dyDescent="0.25">
      <c r="B31" s="1">
        <v>19</v>
      </c>
      <c r="C31" s="6">
        <f t="shared" si="11"/>
        <v>635.26788144723128</v>
      </c>
      <c r="D31" s="6">
        <f t="shared" si="12"/>
        <v>1979.146204085398</v>
      </c>
      <c r="E31" s="6">
        <f t="shared" si="13"/>
        <v>359.08087746408114</v>
      </c>
      <c r="F31" s="6">
        <f t="shared" si="14"/>
        <v>26.631915518947181</v>
      </c>
      <c r="G31" s="6">
        <f t="shared" si="15"/>
        <v>11.678907451686387</v>
      </c>
      <c r="I31" s="6">
        <f t="shared" si="10"/>
        <v>3011.805785967344</v>
      </c>
    </row>
    <row r="32" spans="2:9" x14ac:dyDescent="0.25">
      <c r="B32" s="1">
        <v>20</v>
      </c>
      <c r="C32" s="6">
        <f t="shared" si="11"/>
        <v>603.06958353645587</v>
      </c>
      <c r="D32" s="6">
        <f t="shared" si="12"/>
        <v>1861.8532539452021</v>
      </c>
      <c r="E32" s="6">
        <f t="shared" si="13"/>
        <v>334.87344669817122</v>
      </c>
      <c r="F32" s="6">
        <f t="shared" si="14"/>
        <v>24.985503055739525</v>
      </c>
      <c r="G32" s="6">
        <f t="shared" si="15"/>
        <v>11.072782975070066</v>
      </c>
      <c r="I32" s="6">
        <f t="shared" si="10"/>
        <v>2835.8545702106389</v>
      </c>
    </row>
    <row r="33" spans="2:9" x14ac:dyDescent="0.25">
      <c r="B33" s="1">
        <v>21</v>
      </c>
      <c r="C33" s="6">
        <f t="shared" si="11"/>
        <v>571.77083087518054</v>
      </c>
      <c r="D33" s="6">
        <f t="shared" si="12"/>
        <v>1755.5994654139834</v>
      </c>
      <c r="E33" s="6">
        <f t="shared" si="13"/>
        <v>313.1045171779586</v>
      </c>
      <c r="F33" s="6">
        <f t="shared" si="14"/>
        <v>23.402708571279614</v>
      </c>
      <c r="G33" s="6">
        <f t="shared" si="15"/>
        <v>10.481997113231794</v>
      </c>
      <c r="I33" s="6">
        <f t="shared" si="10"/>
        <v>2674.3595191516342</v>
      </c>
    </row>
    <row r="34" spans="2:9" x14ac:dyDescent="0.25">
      <c r="B34" s="1">
        <v>22</v>
      </c>
      <c r="C34" s="6">
        <f t="shared" si="11"/>
        <v>541.26412593450675</v>
      </c>
      <c r="D34" s="6">
        <f t="shared" si="12"/>
        <v>1657.7477489461737</v>
      </c>
      <c r="E34" s="6">
        <f t="shared" si="13"/>
        <v>293.48964105661798</v>
      </c>
      <c r="F34" s="6">
        <f t="shared" si="14"/>
        <v>21.909633071993916</v>
      </c>
      <c r="G34" s="6">
        <f t="shared" si="15"/>
        <v>9.9075008874525778</v>
      </c>
      <c r="I34" s="6">
        <f t="shared" si="10"/>
        <v>2524.3186498967448</v>
      </c>
    </row>
    <row r="35" spans="2:9" x14ac:dyDescent="0.25">
      <c r="B35" s="1">
        <v>23</v>
      </c>
      <c r="C35" s="6">
        <f t="shared" si="11"/>
        <v>511.59857707583251</v>
      </c>
      <c r="D35" s="6">
        <f t="shared" si="12"/>
        <v>1566.3715187132016</v>
      </c>
      <c r="E35" s="6">
        <f t="shared" si="13"/>
        <v>275.71008162150673</v>
      </c>
      <c r="F35" s="6">
        <f t="shared" si="14"/>
        <v>20.518672935175594</v>
      </c>
      <c r="G35" s="6">
        <f t="shared" si="15"/>
        <v>9.3516558353407646</v>
      </c>
      <c r="I35" s="6">
        <f t="shared" si="10"/>
        <v>2383.5505061810572</v>
      </c>
    </row>
    <row r="36" spans="2:9" x14ac:dyDescent="0.25">
      <c r="B36" s="1">
        <v>24</v>
      </c>
      <c r="C36" s="6">
        <f t="shared" si="11"/>
        <v>482.89612819740876</v>
      </c>
      <c r="D36" s="6">
        <f t="shared" si="12"/>
        <v>1480.1589959061155</v>
      </c>
      <c r="E36" s="6">
        <f t="shared" si="13"/>
        <v>259.46009956098999</v>
      </c>
      <c r="F36" s="6">
        <f t="shared" si="14"/>
        <v>19.232226492598386</v>
      </c>
      <c r="G36" s="6">
        <f t="shared" si="15"/>
        <v>8.8171286198363905</v>
      </c>
      <c r="I36" s="6">
        <f t="shared" si="10"/>
        <v>2250.5645787769486</v>
      </c>
    </row>
    <row r="37" spans="2:9" x14ac:dyDescent="0.25">
      <c r="B37" s="1">
        <v>25</v>
      </c>
      <c r="C37" s="6">
        <f t="shared" si="11"/>
        <v>455.29447910680165</v>
      </c>
      <c r="D37" s="6">
        <f t="shared" si="12"/>
        <v>1398.2833932823373</v>
      </c>
      <c r="E37" s="6">
        <f t="shared" si="13"/>
        <v>244.47323520687621</v>
      </c>
      <c r="F37" s="6">
        <f t="shared" si="14"/>
        <v>18.046120359610914</v>
      </c>
      <c r="G37" s="6">
        <f t="shared" si="15"/>
        <v>8.3062228694961409</v>
      </c>
      <c r="I37" s="6">
        <f t="shared" si="10"/>
        <v>2124.4034508251225</v>
      </c>
    </row>
    <row r="38" spans="2:9" x14ac:dyDescent="0.25">
      <c r="B38" s="1">
        <v>26</v>
      </c>
      <c r="C38" s="6">
        <f t="shared" si="11"/>
        <v>428.91258342360697</v>
      </c>
      <c r="D38" s="6">
        <f t="shared" si="12"/>
        <v>1320.2692346277372</v>
      </c>
      <c r="E38" s="6">
        <f t="shared" si="13"/>
        <v>230.53308519503457</v>
      </c>
      <c r="F38" s="6">
        <f t="shared" si="14"/>
        <v>16.952445554185296</v>
      </c>
      <c r="G38" s="6">
        <f t="shared" si="15"/>
        <v>7.8205476433586441</v>
      </c>
      <c r="I38" s="6">
        <f t="shared" si="10"/>
        <v>2004.4878964439226</v>
      </c>
    </row>
    <row r="39" spans="2:9" x14ac:dyDescent="0.25">
      <c r="B39" s="1">
        <v>27</v>
      </c>
      <c r="C39" s="6">
        <f t="shared" si="11"/>
        <v>403.83352893393203</v>
      </c>
      <c r="D39" s="6">
        <f t="shared" si="12"/>
        <v>1245.8729018071213</v>
      </c>
      <c r="E39" s="6">
        <f t="shared" si="13"/>
        <v>217.47369870452457</v>
      </c>
      <c r="F39" s="6">
        <f t="shared" si="14"/>
        <v>15.941696486660032</v>
      </c>
      <c r="G39" s="6">
        <f t="shared" si="15"/>
        <v>7.3609222222824471</v>
      </c>
      <c r="I39" s="6">
        <f t="shared" si="10"/>
        <v>1890.4827481545203</v>
      </c>
    </row>
    <row r="40" spans="2:9" x14ac:dyDescent="0.25">
      <c r="B40" s="1">
        <v>28</v>
      </c>
      <c r="C40" s="6">
        <f t="shared" si="11"/>
        <v>380.09962125310989</v>
      </c>
      <c r="D40" s="6">
        <f t="shared" si="12"/>
        <v>1174.9861779654339</v>
      </c>
      <c r="E40" s="6">
        <f t="shared" si="13"/>
        <v>205.17386513922872</v>
      </c>
      <c r="F40" s="6">
        <f t="shared" si="14"/>
        <v>15.004237279288112</v>
      </c>
      <c r="G40" s="6">
        <f t="shared" si="15"/>
        <v>6.9274295635127618</v>
      </c>
      <c r="I40" s="6">
        <f t="shared" si="10"/>
        <v>1782.1913312005736</v>
      </c>
    </row>
    <row r="41" spans="2:9" x14ac:dyDescent="0.25">
      <c r="B41" s="1">
        <v>29</v>
      </c>
      <c r="C41" s="6">
        <f t="shared" si="11"/>
        <v>357.71514408589024</v>
      </c>
      <c r="D41" s="6">
        <f t="shared" si="12"/>
        <v>1107.5650405156362</v>
      </c>
      <c r="E41" s="6">
        <f t="shared" si="13"/>
        <v>193.54853829474496</v>
      </c>
      <c r="F41" s="6">
        <f t="shared" si="14"/>
        <v>14.131193262119842</v>
      </c>
      <c r="G41" s="6">
        <f t="shared" si="15"/>
        <v>6.5195489909184001</v>
      </c>
      <c r="I41" s="6">
        <f t="shared" si="10"/>
        <v>1679.4794651493096</v>
      </c>
    </row>
    <row r="42" spans="2:9" x14ac:dyDescent="0.25">
      <c r="B42" s="1">
        <v>30</v>
      </c>
      <c r="C42" s="6">
        <f t="shared" si="11"/>
        <v>336.65321101854892</v>
      </c>
      <c r="D42" s="6">
        <f t="shared" si="12"/>
        <v>1043.5818864253629</v>
      </c>
      <c r="E42" s="6">
        <f t="shared" si="13"/>
        <v>182.53964168542925</v>
      </c>
      <c r="F42" s="6">
        <f t="shared" si="14"/>
        <v>13.314896032365889</v>
      </c>
      <c r="G42" s="6">
        <f t="shared" si="15"/>
        <v>6.1363179226422968</v>
      </c>
      <c r="I42" s="6">
        <f t="shared" si="10"/>
        <v>1582.2259530843492</v>
      </c>
    </row>
    <row r="43" spans="2:9" x14ac:dyDescent="0.25">
      <c r="B43" s="1">
        <v>31</v>
      </c>
      <c r="C43" s="6">
        <f t="shared" si="11"/>
        <v>316.86411673044159</v>
      </c>
      <c r="D43" s="6">
        <f t="shared" si="12"/>
        <v>982.99722876166561</v>
      </c>
      <c r="E43" s="6">
        <f t="shared" si="13"/>
        <v>172.10763890859516</v>
      </c>
      <c r="F43" s="6">
        <f t="shared" si="14"/>
        <v>12.549012286096694</v>
      </c>
      <c r="G43" s="6">
        <f t="shared" si="15"/>
        <v>5.7764898573919377</v>
      </c>
      <c r="I43" s="6">
        <f t="shared" si="10"/>
        <v>1490.2944865441909</v>
      </c>
    </row>
    <row r="44" spans="2:9" x14ac:dyDescent="0.25">
      <c r="B44" s="1">
        <v>32</v>
      </c>
      <c r="C44" s="6">
        <f t="shared" si="11"/>
        <v>298.28349501107618</v>
      </c>
      <c r="D44" s="6">
        <f t="shared" si="12"/>
        <v>925.74614768099707</v>
      </c>
      <c r="E44" s="6">
        <f t="shared" si="13"/>
        <v>162.22458020103031</v>
      </c>
      <c r="F44" s="6">
        <f t="shared" si="14"/>
        <v>11.828471518381255</v>
      </c>
      <c r="G44" s="6">
        <f t="shared" si="15"/>
        <v>5.4386700440819764</v>
      </c>
      <c r="I44" s="6">
        <f t="shared" si="10"/>
        <v>1403.5213644555668</v>
      </c>
    </row>
    <row r="45" spans="2:9" x14ac:dyDescent="0.25">
      <c r="B45" s="1">
        <v>33</v>
      </c>
      <c r="C45" s="6">
        <f t="shared" si="11"/>
        <v>280.83932440128308</v>
      </c>
      <c r="D45" s="6">
        <f t="shared" si="12"/>
        <v>871.73492463500497</v>
      </c>
      <c r="E45" s="6">
        <f t="shared" si="13"/>
        <v>152.86885657612677</v>
      </c>
      <c r="F45" s="6">
        <f t="shared" si="14"/>
        <v>11.149284599355592</v>
      </c>
      <c r="G45" s="6">
        <f t="shared" si="15"/>
        <v>5.1214208282835756</v>
      </c>
      <c r="I45" s="6">
        <f t="shared" si="10"/>
        <v>1321.713811040054</v>
      </c>
    </row>
    <row r="46" spans="2:9" x14ac:dyDescent="0.25">
      <c r="B46" s="1">
        <v>34</v>
      </c>
      <c r="C46" s="6">
        <f t="shared" si="11"/>
        <v>264.45736802049316</v>
      </c>
      <c r="D46" s="6">
        <f t="shared" si="12"/>
        <v>820.84394054546567</v>
      </c>
      <c r="E46" s="6">
        <f t="shared" si="13"/>
        <v>144.02158500226557</v>
      </c>
      <c r="F46" s="6">
        <f t="shared" si="14"/>
        <v>10.508320371706924</v>
      </c>
      <c r="G46" s="6">
        <f t="shared" si="15"/>
        <v>4.8233358106421038</v>
      </c>
      <c r="I46" s="6">
        <f t="shared" si="10"/>
        <v>1244.6545497505733</v>
      </c>
    </row>
    <row r="47" spans="2:9" x14ac:dyDescent="0.25">
      <c r="B47" s="1">
        <v>35</v>
      </c>
      <c r="C47" s="6">
        <f t="shared" si="11"/>
        <v>249.06500292203165</v>
      </c>
      <c r="D47" s="6">
        <f t="shared" si="12"/>
        <v>772.93378439719584</v>
      </c>
      <c r="E47" s="6">
        <f t="shared" si="13"/>
        <v>135.66437837376176</v>
      </c>
      <c r="F47" s="6">
        <f t="shared" si="14"/>
        <v>9.9030846085471698</v>
      </c>
      <c r="G47" s="6">
        <f t="shared" si="15"/>
        <v>4.5430862134835843</v>
      </c>
      <c r="I47" s="6">
        <f t="shared" si="10"/>
        <v>1172.10933651502</v>
      </c>
    </row>
    <row r="48" spans="2:9" x14ac:dyDescent="0.25">
      <c r="B48" s="1">
        <v>36</v>
      </c>
      <c r="C48" s="6">
        <f t="shared" si="11"/>
        <v>234.59361434875859</v>
      </c>
      <c r="D48" s="6">
        <f t="shared" si="12"/>
        <v>727.8524012695608</v>
      </c>
      <c r="E48" s="6">
        <f t="shared" si="13"/>
        <v>127.77818581142128</v>
      </c>
      <c r="F48" s="6">
        <f t="shared" si="14"/>
        <v>9.3315268921306451</v>
      </c>
      <c r="G48" s="6">
        <f t="shared" si="15"/>
        <v>4.2794449078295971</v>
      </c>
      <c r="I48" s="6">
        <f t="shared" si="10"/>
        <v>1103.835173229701</v>
      </c>
    </row>
    <row r="49" spans="2:9" x14ac:dyDescent="0.25">
      <c r="B49" s="1">
        <v>37</v>
      </c>
      <c r="C49" s="6">
        <f t="shared" si="11"/>
        <v>220.97983642805085</v>
      </c>
      <c r="D49" s="6">
        <f t="shared" si="12"/>
        <v>685.44189165026148</v>
      </c>
      <c r="E49" s="6">
        <f t="shared" si="13"/>
        <v>120.34288814158182</v>
      </c>
      <c r="F49" s="6">
        <f t="shared" si="14"/>
        <v>8.7918868708501048</v>
      </c>
      <c r="G49" s="6">
        <f t="shared" si="15"/>
        <v>4.0312940708541136</v>
      </c>
      <c r="I49" s="6">
        <f t="shared" si="10"/>
        <v>1039.5877971615982</v>
      </c>
    </row>
    <row r="50" spans="2:9" x14ac:dyDescent="0.25">
      <c r="B50" s="1">
        <v>38</v>
      </c>
      <c r="C50" s="6">
        <f t="shared" si="11"/>
        <v>208.16594758372929</v>
      </c>
      <c r="D50" s="6">
        <f t="shared" si="12"/>
        <v>645.54420147622113</v>
      </c>
      <c r="E50" s="6">
        <f t="shared" si="13"/>
        <v>113.33737209153234</v>
      </c>
      <c r="F50" s="6">
        <f t="shared" si="14"/>
        <v>8.2825817206098282</v>
      </c>
      <c r="G50" s="6">
        <f t="shared" si="15"/>
        <v>3.7976220024428349</v>
      </c>
      <c r="I50" s="6">
        <f t="shared" si="10"/>
        <v>979.12772487453549</v>
      </c>
    </row>
    <row r="51" spans="2:9" x14ac:dyDescent="0.25">
      <c r="B51" s="1">
        <v>39</v>
      </c>
      <c r="C51" s="6">
        <f t="shared" si="11"/>
        <v>196.0997061511419</v>
      </c>
      <c r="D51" s="6">
        <f t="shared" si="12"/>
        <v>608.00540172115166</v>
      </c>
      <c r="E51" s="6">
        <f t="shared" si="13"/>
        <v>106.7398635379478</v>
      </c>
      <c r="F51" s="6">
        <f t="shared" si="14"/>
        <v>7.8021308031950181</v>
      </c>
      <c r="G51" s="6">
        <f t="shared" si="15"/>
        <v>3.5775136849334532</v>
      </c>
      <c r="I51" s="6">
        <f t="shared" si="10"/>
        <v>922.22461589836985</v>
      </c>
    </row>
    <row r="52" spans="2:9" x14ac:dyDescent="0.25">
      <c r="B52" s="1">
        <v>40</v>
      </c>
      <c r="C52" s="6">
        <f t="shared" si="11"/>
        <v>184.73386290575121</v>
      </c>
      <c r="D52" s="6">
        <f t="shared" si="12"/>
        <v>572.67856081816262</v>
      </c>
      <c r="E52" s="6">
        <f t="shared" si="13"/>
        <v>100.5283604304893</v>
      </c>
      <c r="F52" s="6">
        <f t="shared" si="14"/>
        <v>7.3491106150000114</v>
      </c>
      <c r="G52" s="6">
        <f t="shared" si="15"/>
        <v>3.3701385501060601</v>
      </c>
      <c r="I52" s="6">
        <f t="shared" si="10"/>
        <v>868.66003331950924</v>
      </c>
    </row>
    <row r="53" spans="2:9" x14ac:dyDescent="0.25">
      <c r="B53" s="1">
        <v>41</v>
      </c>
      <c r="C53" s="6">
        <f t="shared" si="11"/>
        <v>174.02552938110168</v>
      </c>
      <c r="D53" s="6">
        <f t="shared" si="12"/>
        <v>539.42538975202729</v>
      </c>
      <c r="E53" s="6">
        <f t="shared" si="13"/>
        <v>94.681060843739601</v>
      </c>
      <c r="F53" s="6">
        <f t="shared" si="14"/>
        <v>6.9221322876093057</v>
      </c>
      <c r="G53" s="6">
        <f t="shared" si="15"/>
        <v>3.1747378345508031</v>
      </c>
      <c r="I53" s="6">
        <f t="shared" si="10"/>
        <v>818.2288500990287</v>
      </c>
    </row>
    <row r="54" spans="2:9" x14ac:dyDescent="0.25">
      <c r="B54" s="1">
        <v>42</v>
      </c>
      <c r="C54" s="6">
        <f t="shared" si="11"/>
        <v>163.9355249316171</v>
      </c>
      <c r="D54" s="6">
        <f t="shared" si="12"/>
        <v>508.11691986224537</v>
      </c>
      <c r="E54" s="6">
        <f t="shared" si="13"/>
        <v>89.176726461938287</v>
      </c>
      <c r="F54" s="6">
        <f t="shared" si="14"/>
        <v>6.5198343761805999</v>
      </c>
      <c r="G54" s="6">
        <f t="shared" si="15"/>
        <v>2.9906129776957675</v>
      </c>
      <c r="I54" s="6">
        <f t="shared" si="10"/>
        <v>770.73961860967711</v>
      </c>
    </row>
    <row r="55" spans="2:9" x14ac:dyDescent="0.25">
      <c r="B55" s="1">
        <v>43</v>
      </c>
      <c r="C55" s="6">
        <f t="shared" si="11"/>
        <v>154.42777763576521</v>
      </c>
      <c r="D55" s="6">
        <f t="shared" si="12"/>
        <v>478.63348760228456</v>
      </c>
      <c r="E55" s="6">
        <f t="shared" si="13"/>
        <v>83.99495527860573</v>
      </c>
      <c r="F55" s="6">
        <f t="shared" si="14"/>
        <v>6.1408848473319972</v>
      </c>
      <c r="G55" s="6">
        <f t="shared" si="15"/>
        <v>2.8171157959028927</v>
      </c>
      <c r="I55" s="6">
        <f t="shared" si="10"/>
        <v>726.01422115989044</v>
      </c>
    </row>
    <row r="56" spans="2:9" x14ac:dyDescent="0.25">
      <c r="B56" s="1">
        <v>44</v>
      </c>
      <c r="C56" s="6">
        <f t="shared" si="11"/>
        <v>145.46881691093563</v>
      </c>
      <c r="D56" s="6">
        <f t="shared" si="12"/>
        <v>450.86427454842305</v>
      </c>
      <c r="E56" s="6">
        <f t="shared" si="13"/>
        <v>79.116359998158202</v>
      </c>
      <c r="F56" s="6">
        <f t="shared" si="14"/>
        <v>5.7839876161739312</v>
      </c>
      <c r="G56" s="6">
        <f t="shared" si="15"/>
        <v>2.6536406545726923</v>
      </c>
      <c r="I56" s="6">
        <f t="shared" si="10"/>
        <v>683.88707972826353</v>
      </c>
    </row>
    <row r="57" spans="2:9" x14ac:dyDescent="0.25">
      <c r="B57" s="1">
        <v>45</v>
      </c>
      <c r="C57" s="6">
        <f t="shared" si="11"/>
        <v>137.02736930049741</v>
      </c>
      <c r="D57" s="6">
        <f t="shared" si="12"/>
        <v>424.70660486709784</v>
      </c>
      <c r="E57" s="6">
        <f t="shared" si="13"/>
        <v>74.522662246211098</v>
      </c>
      <c r="F57" s="6">
        <f t="shared" si="14"/>
        <v>5.4478903941956283</v>
      </c>
      <c r="G57" s="6">
        <f t="shared" si="15"/>
        <v>2.4996185341359181</v>
      </c>
      <c r="I57" s="6">
        <f t="shared" si="10"/>
        <v>644.20414534213796</v>
      </c>
    </row>
    <row r="58" spans="2:9" x14ac:dyDescent="0.25">
      <c r="B58" s="1">
        <v>46</v>
      </c>
      <c r="C58" s="6">
        <f t="shared" si="11"/>
        <v>129.07405205644346</v>
      </c>
      <c r="D58" s="6">
        <f t="shared" si="12"/>
        <v>400.06515038234153</v>
      </c>
      <c r="E58" s="6">
        <f t="shared" si="13"/>
        <v>70.196719339115589</v>
      </c>
      <c r="F58" s="6">
        <f t="shared" si="14"/>
        <v>5.13139183151943</v>
      </c>
      <c r="G58" s="6">
        <f t="shared" si="15"/>
        <v>2.3545127081618911</v>
      </c>
      <c r="I58" s="6">
        <f t="shared" si="10"/>
        <v>606.82182631758189</v>
      </c>
    </row>
    <row r="59" spans="2:9" x14ac:dyDescent="0.25">
      <c r="B59" s="1">
        <v>47</v>
      </c>
      <c r="C59" s="6">
        <f t="shared" si="11"/>
        <v>121.58114996770966</v>
      </c>
      <c r="D59" s="6">
        <f t="shared" si="12"/>
        <v>376.85114430997169</v>
      </c>
      <c r="E59" s="6">
        <f t="shared" si="13"/>
        <v>66.122502124916025</v>
      </c>
      <c r="F59" s="6">
        <f t="shared" si="14"/>
        <v>4.8333468965394486</v>
      </c>
      <c r="G59" s="6">
        <f t="shared" si="15"/>
        <v>2.217815682625655</v>
      </c>
      <c r="I59" s="6">
        <f t="shared" si="10"/>
        <v>571.60595898176246</v>
      </c>
    </row>
    <row r="60" spans="2:9" x14ac:dyDescent="0.25">
      <c r="B60" s="1">
        <v>48</v>
      </c>
      <c r="C60" s="6">
        <f t="shared" si="11"/>
        <v>114.52245731158227</v>
      </c>
      <c r="D60" s="6">
        <f t="shared" si="12"/>
        <v>354.98166349276244</v>
      </c>
      <c r="E60" s="6">
        <f t="shared" si="13"/>
        <v>62.285041111568418</v>
      </c>
      <c r="F60" s="6">
        <f t="shared" si="14"/>
        <v>4.5526701238133089</v>
      </c>
      <c r="G60" s="6">
        <f t="shared" si="15"/>
        <v>2.0890470479330614</v>
      </c>
      <c r="I60" s="6">
        <f t="shared" si="10"/>
        <v>538.43087908765949</v>
      </c>
    </row>
    <row r="61" spans="2:9" x14ac:dyDescent="0.25">
      <c r="B61" s="1">
        <v>49</v>
      </c>
      <c r="C61" s="6">
        <f t="shared" si="11"/>
        <v>107.87316693764346</v>
      </c>
      <c r="D61" s="6">
        <f t="shared" si="12"/>
        <v>334.37900742862041</v>
      </c>
      <c r="E61" s="6">
        <f t="shared" si="13"/>
        <v>58.670355184938579</v>
      </c>
      <c r="F61" s="6">
        <f t="shared" si="14"/>
        <v>4.2883368055604771</v>
      </c>
      <c r="G61" s="6">
        <f t="shared" si="15"/>
        <v>1.9677519393304586</v>
      </c>
      <c r="I61" s="6">
        <f t="shared" si="10"/>
        <v>507.17861829609342</v>
      </c>
    </row>
    <row r="62" spans="2:9" x14ac:dyDescent="0.25">
      <c r="B62" s="1">
        <v>50</v>
      </c>
      <c r="C62" s="6">
        <f t="shared" si="11"/>
        <v>101.60979076717656</v>
      </c>
      <c r="D62" s="6">
        <f t="shared" si="12"/>
        <v>314.97018040326685</v>
      </c>
      <c r="E62" s="6">
        <f t="shared" si="13"/>
        <v>55.265373727935668</v>
      </c>
      <c r="F62" s="6">
        <f t="shared" si="14"/>
        <v>4.0393824499060784</v>
      </c>
      <c r="G62" s="6">
        <f t="shared" si="15"/>
        <v>1.8534998640575302</v>
      </c>
      <c r="I62" s="6">
        <f t="shared" si="10"/>
        <v>477.73822721234268</v>
      </c>
    </row>
    <row r="63" spans="2:9" x14ac:dyDescent="0.25">
      <c r="B63" s="1">
        <v>51</v>
      </c>
      <c r="C63" s="6">
        <f t="shared" si="11"/>
        <v>95.710099230270714</v>
      </c>
      <c r="D63" s="6">
        <f t="shared" si="12"/>
        <v>296.68646935766924</v>
      </c>
      <c r="E63" s="6">
        <f t="shared" si="13"/>
        <v>52.057859559417082</v>
      </c>
      <c r="F63" s="6">
        <f t="shared" si="14"/>
        <v>3.8049009316667242</v>
      </c>
      <c r="G63" s="6">
        <f t="shared" si="15"/>
        <v>1.7458837194668129</v>
      </c>
      <c r="I63" s="6">
        <f t="shared" si="10"/>
        <v>450.00521279849056</v>
      </c>
    </row>
    <row r="64" spans="2:9" x14ac:dyDescent="0.25">
      <c r="B64" s="1">
        <v>52</v>
      </c>
      <c r="C64" s="6">
        <f t="shared" si="11"/>
        <v>90.15307056396756</v>
      </c>
      <c r="D64" s="6">
        <f t="shared" si="12"/>
        <v>279.4631029730715</v>
      </c>
      <c r="E64" s="6">
        <f t="shared" si="13"/>
        <v>49.03633719842049</v>
      </c>
      <c r="F64" s="6">
        <f t="shared" si="14"/>
        <v>3.5840417670256306</v>
      </c>
      <c r="G64" s="6">
        <f t="shared" si="15"/>
        <v>1.6445188858803219</v>
      </c>
      <c r="I64" s="6">
        <f t="shared" si="10"/>
        <v>423.88107138836546</v>
      </c>
    </row>
    <row r="65" spans="2:9" x14ac:dyDescent="0.25">
      <c r="B65" s="1">
        <v>53</v>
      </c>
      <c r="C65" s="6">
        <f t="shared" si="11"/>
        <v>84.918843969645124</v>
      </c>
      <c r="D65" s="6">
        <f t="shared" si="12"/>
        <v>263.23897500412573</v>
      </c>
      <c r="E65" s="6">
        <f t="shared" si="13"/>
        <v>46.190028688015836</v>
      </c>
      <c r="F65" s="6">
        <f t="shared" si="14"/>
        <v>3.3760068918814699</v>
      </c>
      <c r="G65" s="6">
        <f t="shared" si="15"/>
        <v>1.5490423264657438</v>
      </c>
      <c r="I65" s="6">
        <f t="shared" si="10"/>
        <v>399.27289688013389</v>
      </c>
    </row>
    <row r="66" spans="2:9" x14ac:dyDescent="0.25">
      <c r="B66" s="1">
        <v>54</v>
      </c>
      <c r="C66" s="6">
        <f t="shared" si="11"/>
        <v>79.988673132874851</v>
      </c>
      <c r="D66" s="6">
        <f t="shared" si="12"/>
        <v>247.95641548012185</v>
      </c>
      <c r="E66" s="6">
        <f t="shared" si="13"/>
        <v>43.50879759823269</v>
      </c>
      <c r="F66" s="6">
        <f t="shared" si="14"/>
        <v>3.180047245335464</v>
      </c>
      <c r="G66" s="6">
        <f t="shared" si="15"/>
        <v>1.4591116625155565</v>
      </c>
      <c r="I66" s="6">
        <f t="shared" si="10"/>
        <v>376.09304511908039</v>
      </c>
    </row>
    <row r="67" spans="2:9" x14ac:dyDescent="0.25">
      <c r="B67" s="1">
        <v>55</v>
      </c>
      <c r="C67" s="6">
        <f t="shared" si="11"/>
        <v>75.344878473147048</v>
      </c>
      <c r="D67" s="6">
        <f t="shared" si="12"/>
        <v>233.56099568574143</v>
      </c>
      <c r="E67" s="6">
        <f t="shared" si="13"/>
        <v>40.983100796044965</v>
      </c>
      <c r="F67" s="6">
        <f t="shared" si="14"/>
        <v>2.9954593756852081</v>
      </c>
      <c r="G67" s="6">
        <f t="shared" si="15"/>
        <v>1.3744042169405484</v>
      </c>
      <c r="I67" s="6">
        <f t="shared" si="10"/>
        <v>354.25883854755921</v>
      </c>
    </row>
    <row r="68" spans="2:9" x14ac:dyDescent="0.25">
      <c r="B68" s="1">
        <v>56</v>
      </c>
      <c r="C68" s="6">
        <f t="shared" si="11"/>
        <v>70.970797752267572</v>
      </c>
      <c r="D68" s="6">
        <f t="shared" si="12"/>
        <v>220.00135583487929</v>
      </c>
      <c r="E68" s="6">
        <f t="shared" si="13"/>
        <v>38.60394700728861</v>
      </c>
      <c r="F68" s="6">
        <f t="shared" si="14"/>
        <v>2.821582209342167</v>
      </c>
      <c r="G68" s="6">
        <f t="shared" si="15"/>
        <v>1.2946160334217014</v>
      </c>
      <c r="I68" s="6">
        <f t="shared" si="10"/>
        <v>333.69229883719936</v>
      </c>
    </row>
    <row r="69" spans="2:9" x14ac:dyDescent="0.25">
      <c r="B69" s="1">
        <v>57</v>
      </c>
      <c r="C69" s="6">
        <f t="shared" si="11"/>
        <v>66.850735425813113</v>
      </c>
      <c r="D69" s="6">
        <f t="shared" si="12"/>
        <v>207.22904739861616</v>
      </c>
      <c r="E69" s="6">
        <f t="shared" si="13"/>
        <v>36.362860975532584</v>
      </c>
      <c r="F69" s="6">
        <f t="shared" si="14"/>
        <v>2.657794059909842</v>
      </c>
      <c r="G69" s="6">
        <f t="shared" si="15"/>
        <v>1.2194608858080287</v>
      </c>
      <c r="I69" s="6">
        <f t="shared" si="10"/>
        <v>314.31989874567972</v>
      </c>
    </row>
    <row r="70" spans="2:9" x14ac:dyDescent="0.25">
      <c r="B70" s="1">
        <v>58</v>
      </c>
      <c r="C70" s="6">
        <f t="shared" si="11"/>
        <v>62.969911490912082</v>
      </c>
      <c r="D70" s="6">
        <f t="shared" si="12"/>
        <v>195.19838474839111</v>
      </c>
      <c r="E70" s="6">
        <f t="shared" si="13"/>
        <v>34.251852030855716</v>
      </c>
      <c r="F70" s="6">
        <f t="shared" si="14"/>
        <v>2.5035099073936316</v>
      </c>
      <c r="G70" s="6">
        <f t="shared" si="15"/>
        <v>1.1486692942731955</v>
      </c>
      <c r="I70" s="6">
        <f t="shared" si="10"/>
        <v>296.0723274718257</v>
      </c>
    </row>
    <row r="71" spans="2:9" x14ac:dyDescent="0.25">
      <c r="B71" s="1">
        <v>59</v>
      </c>
      <c r="C71" s="6">
        <f t="shared" si="11"/>
        <v>59.314410683032136</v>
      </c>
      <c r="D71" s="6">
        <f t="shared" si="12"/>
        <v>183.86630294205781</v>
      </c>
      <c r="E71" s="6">
        <f t="shared" si="13"/>
        <v>32.263386021691758</v>
      </c>
      <c r="F71" s="6">
        <f t="shared" si="14"/>
        <v>2.3581789454287154</v>
      </c>
      <c r="G71" s="6">
        <f t="shared" si="15"/>
        <v>1.0819875634180267</v>
      </c>
      <c r="I71" s="6">
        <f t="shared" si="10"/>
        <v>278.88426615562844</v>
      </c>
    </row>
    <row r="72" spans="2:9" x14ac:dyDescent="0.25">
      <c r="B72" s="1">
        <v>60</v>
      </c>
      <c r="C72" s="6">
        <f t="shared" si="11"/>
        <v>55.871132805998357</v>
      </c>
      <c r="D72" s="6">
        <f t="shared" si="12"/>
        <v>173.19222007171456</v>
      </c>
      <c r="E72" s="6">
        <f t="shared" si="13"/>
        <v>30.390359763354375</v>
      </c>
      <c r="F72" s="6">
        <f t="shared" si="14"/>
        <v>2.2212823751945274</v>
      </c>
      <c r="G72" s="6">
        <f t="shared" si="15"/>
        <v>1.0191768544763353</v>
      </c>
      <c r="I72" s="6">
        <f t="shared" si="10"/>
        <v>262.6941718707381</v>
      </c>
    </row>
    <row r="73" spans="2:9" x14ac:dyDescent="0.25">
      <c r="B73" s="1">
        <v>61</v>
      </c>
      <c r="C73" s="6">
        <f t="shared" si="11"/>
        <v>52.627744823021771</v>
      </c>
      <c r="D73" s="6">
        <f t="shared" si="12"/>
        <v>163.13790365469896</v>
      </c>
      <c r="E73" s="6">
        <f t="shared" si="13"/>
        <v>28.626077368109556</v>
      </c>
      <c r="F73" s="6">
        <f t="shared" si="14"/>
        <v>2.092331415386401</v>
      </c>
      <c r="G73" s="6">
        <f t="shared" si="15"/>
        <v>0.96001230015822148</v>
      </c>
      <c r="I73" s="6">
        <f t="shared" si="10"/>
        <v>247.4440695613749</v>
      </c>
    </row>
    <row r="74" spans="2:9" x14ac:dyDescent="0.25">
      <c r="B74" s="1">
        <v>62</v>
      </c>
      <c r="C74" s="6">
        <f t="shared" si="11"/>
        <v>49.572635149420165</v>
      </c>
      <c r="D74" s="6">
        <f t="shared" si="12"/>
        <v>153.66734117555558</v>
      </c>
      <c r="E74" s="6">
        <f t="shared" si="13"/>
        <v>26.964228013582925</v>
      </c>
      <c r="F74" s="6">
        <f t="shared" si="14"/>
        <v>1.9708654952876072</v>
      </c>
      <c r="G74" s="6">
        <f t="shared" si="15"/>
        <v>0.90428216716657173</v>
      </c>
      <c r="I74" s="6">
        <f t="shared" si="10"/>
        <v>233.07935200101284</v>
      </c>
    </row>
    <row r="75" spans="2:9" x14ac:dyDescent="0.25">
      <c r="B75" s="1">
        <v>63</v>
      </c>
      <c r="C75" s="6">
        <f t="shared" si="11"/>
        <v>46.694870407063853</v>
      </c>
      <c r="D75" s="6">
        <f t="shared" si="12"/>
        <v>144.74661518495401</v>
      </c>
      <c r="E75" s="6">
        <f t="shared" si="13"/>
        <v>25.398864863701764</v>
      </c>
      <c r="F75" s="6">
        <f t="shared" si="14"/>
        <v>1.856450600044224</v>
      </c>
      <c r="G75" s="6">
        <f t="shared" si="15"/>
        <v>0.85178706845030061</v>
      </c>
      <c r="I75" s="6">
        <f t="shared" si="10"/>
        <v>219.54858812421415</v>
      </c>
    </row>
    <row r="76" spans="2:9" x14ac:dyDescent="0.25">
      <c r="B76" s="1">
        <v>64</v>
      </c>
      <c r="C76" s="6">
        <f t="shared" si="11"/>
        <v>43.984154747102401</v>
      </c>
      <c r="D76" s="6">
        <f t="shared" si="12"/>
        <v>136.34378343476567</v>
      </c>
      <c r="E76" s="6">
        <f t="shared" si="13"/>
        <v>23.924384974699763</v>
      </c>
      <c r="F76" s="6">
        <f t="shared" si="14"/>
        <v>1.7486777416404946</v>
      </c>
      <c r="G76" s="6">
        <f t="shared" si="15"/>
        <v>0.80233922497899091</v>
      </c>
      <c r="I76" s="6">
        <f t="shared" si="10"/>
        <v>206.80334012318733</v>
      </c>
    </row>
    <row r="77" spans="2:9" x14ac:dyDescent="0.25">
      <c r="B77" s="1">
        <v>65</v>
      </c>
      <c r="C77" s="6">
        <f t="shared" si="11"/>
        <v>41.430791729852643</v>
      </c>
      <c r="D77" s="6">
        <f t="shared" si="12"/>
        <v>128.42876446466278</v>
      </c>
      <c r="E77" s="6">
        <f t="shared" si="13"/>
        <v>22.535510100116028</v>
      </c>
      <c r="F77" s="6">
        <f t="shared" si="14"/>
        <v>1.6471615343181132</v>
      </c>
      <c r="G77" s="6">
        <f t="shared" si="15"/>
        <v>0.75576177524807386</v>
      </c>
      <c r="I77" s="6">
        <f t="shared" ref="I77:I112" si="16">SUM(C77:G77)</f>
        <v>194.79798960419762</v>
      </c>
    </row>
    <row r="78" spans="2:9" x14ac:dyDescent="0.25">
      <c r="B78" s="1">
        <v>66</v>
      </c>
      <c r="C78" s="6">
        <f t="shared" ref="C78:C112" si="17">G77*$G$4</f>
        <v>39.025648669372416</v>
      </c>
      <c r="D78" s="6">
        <f t="shared" ref="D78:D112" si="18">C77*$C$5+D77*$D$5</f>
        <v>120.97322892265342</v>
      </c>
      <c r="E78" s="6">
        <f t="shared" ref="E78:E112" si="19">D77*$D$6+E77*$E$6</f>
        <v>21.227268359009372</v>
      </c>
      <c r="F78" s="6">
        <f t="shared" ref="F78:F112" si="20">E77*$E$7+F77*$F$7</f>
        <v>1.5515388583071579</v>
      </c>
      <c r="G78" s="6">
        <f t="shared" ref="G78:G112" si="21">F77*$F$8+G77*$G$8</f>
        <v>0.71188812976909666</v>
      </c>
      <c r="I78" s="6">
        <f t="shared" si="16"/>
        <v>183.4895729391115</v>
      </c>
    </row>
    <row r="79" spans="2:9" x14ac:dyDescent="0.25">
      <c r="B79" s="1">
        <v>67</v>
      </c>
      <c r="C79" s="6">
        <f t="shared" si="17"/>
        <v>36.760123300951733</v>
      </c>
      <c r="D79" s="6">
        <f t="shared" si="18"/>
        <v>113.9504967478867</v>
      </c>
      <c r="E79" s="6">
        <f t="shared" si="19"/>
        <v>19.99497675800183</v>
      </c>
      <c r="F79" s="6">
        <f t="shared" si="20"/>
        <v>1.4614676001866602</v>
      </c>
      <c r="G79" s="6">
        <f t="shared" si="21"/>
        <v>0.67056136733993588</v>
      </c>
      <c r="I79" s="6">
        <f t="shared" si="16"/>
        <v>172.83762577436687</v>
      </c>
    </row>
    <row r="80" spans="2:9" x14ac:dyDescent="0.25">
      <c r="B80" s="1">
        <v>68</v>
      </c>
      <c r="C80" s="6">
        <f t="shared" si="17"/>
        <v>34.626112606015944</v>
      </c>
      <c r="D80" s="6">
        <f t="shared" si="18"/>
        <v>107.33544019923448</v>
      </c>
      <c r="E80" s="6">
        <f t="shared" si="19"/>
        <v>18.834224567401538</v>
      </c>
      <c r="F80" s="6">
        <f t="shared" si="20"/>
        <v>1.3766254617293372</v>
      </c>
      <c r="G80" s="6">
        <f t="shared" si="21"/>
        <v>0.63163366978939439</v>
      </c>
      <c r="I80" s="6">
        <f t="shared" si="16"/>
        <v>162.80403650417068</v>
      </c>
    </row>
    <row r="81" spans="2:9" x14ac:dyDescent="0.25">
      <c r="B81" s="1">
        <v>69</v>
      </c>
      <c r="C81" s="6">
        <f t="shared" si="17"/>
        <v>32.615983623749855</v>
      </c>
      <c r="D81" s="6">
        <f t="shared" si="18"/>
        <v>101.10439259397609</v>
      </c>
      <c r="E81" s="6">
        <f t="shared" si="19"/>
        <v>17.740857550744536</v>
      </c>
      <c r="F81" s="6">
        <f t="shared" si="20"/>
        <v>1.2967088316800375</v>
      </c>
      <c r="G81" s="6">
        <f t="shared" si="21"/>
        <v>0.59496579202510969</v>
      </c>
      <c r="I81" s="6">
        <f t="shared" si="16"/>
        <v>153.35290839217564</v>
      </c>
    </row>
    <row r="82" spans="2:9" x14ac:dyDescent="0.25">
      <c r="B82" s="1">
        <v>70</v>
      </c>
      <c r="C82" s="6">
        <f t="shared" si="17"/>
        <v>30.722546085696603</v>
      </c>
      <c r="D82" s="6">
        <f t="shared" si="18"/>
        <v>95.235062533595652</v>
      </c>
      <c r="E82" s="6">
        <f t="shared" si="19"/>
        <v>16.710963040537965</v>
      </c>
      <c r="F82" s="6">
        <f t="shared" si="20"/>
        <v>1.221431716669932</v>
      </c>
      <c r="G82" s="6">
        <f t="shared" si="21"/>
        <v>0.56042656448079609</v>
      </c>
      <c r="I82" s="6">
        <f t="shared" si="16"/>
        <v>144.45042994098097</v>
      </c>
    </row>
    <row r="83" spans="2:9" x14ac:dyDescent="0.25">
      <c r="B83" s="1">
        <v>71</v>
      </c>
      <c r="C83" s="6">
        <f t="shared" si="17"/>
        <v>28.939026723377108</v>
      </c>
      <c r="D83" s="6">
        <f t="shared" si="18"/>
        <v>89.706453337789412</v>
      </c>
      <c r="E83" s="6">
        <f t="shared" si="19"/>
        <v>15.740855844313227</v>
      </c>
      <c r="F83" s="6">
        <f t="shared" si="20"/>
        <v>1.1505247285391151</v>
      </c>
      <c r="G83" s="6">
        <f t="shared" si="21"/>
        <v>0.5278924253818299</v>
      </c>
      <c r="I83" s="6">
        <f t="shared" si="16"/>
        <v>136.06475305940069</v>
      </c>
    </row>
    <row r="84" spans="2:9" x14ac:dyDescent="0.25">
      <c r="B84" s="1">
        <v>72</v>
      </c>
      <c r="C84" s="6">
        <f t="shared" si="17"/>
        <v>27.259045115654242</v>
      </c>
      <c r="D84" s="6">
        <f t="shared" si="18"/>
        <v>84.498787378985412</v>
      </c>
      <c r="E84" s="6">
        <f t="shared" si="19"/>
        <v>14.827064956603262</v>
      </c>
      <c r="F84" s="6">
        <f t="shared" si="20"/>
        <v>1.0837341259056279</v>
      </c>
      <c r="G84" s="6">
        <f t="shared" si="21"/>
        <v>0.49724698057478645</v>
      </c>
      <c r="I84" s="6">
        <f t="shared" si="16"/>
        <v>128.16587855772335</v>
      </c>
    </row>
    <row r="85" spans="2:9" x14ac:dyDescent="0.25">
      <c r="B85" s="1">
        <v>73</v>
      </c>
      <c r="C85" s="6">
        <f t="shared" si="17"/>
        <v>25.676590959430538</v>
      </c>
      <c r="D85" s="6">
        <f t="shared" si="18"/>
        <v>79.593435002030475</v>
      </c>
      <c r="E85" s="6">
        <f t="shared" si="19"/>
        <v>13.966321045437613</v>
      </c>
      <c r="F85" s="6">
        <f t="shared" si="20"/>
        <v>1.0208209080431003</v>
      </c>
      <c r="G85" s="6">
        <f t="shared" si="21"/>
        <v>0.46838058896524554</v>
      </c>
      <c r="I85" s="6">
        <f t="shared" si="16"/>
        <v>120.72554850390698</v>
      </c>
    </row>
    <row r="86" spans="2:9" x14ac:dyDescent="0.25">
      <c r="B86" s="1">
        <v>74</v>
      </c>
      <c r="C86" s="6">
        <f t="shared" si="17"/>
        <v>24.186002662692868</v>
      </c>
      <c r="D86" s="6">
        <f t="shared" si="18"/>
        <v>74.972847720994238</v>
      </c>
      <c r="E86" s="6">
        <f t="shared" si="19"/>
        <v>13.155544676954037</v>
      </c>
      <c r="F86" s="6">
        <f t="shared" si="20"/>
        <v>0.96155995914870929</v>
      </c>
      <c r="G86" s="6">
        <f t="shared" si="21"/>
        <v>0.44118997186351278</v>
      </c>
      <c r="I86" s="6">
        <f t="shared" si="16"/>
        <v>113.71714499165337</v>
      </c>
    </row>
    <row r="87" spans="2:9" x14ac:dyDescent="0.25">
      <c r="B87" s="1">
        <v>75</v>
      </c>
      <c r="C87" s="6">
        <f t="shared" si="17"/>
        <v>22.781947172102143</v>
      </c>
      <c r="D87" s="6">
        <f t="shared" si="18"/>
        <v>70.620495401715615</v>
      </c>
      <c r="E87" s="6">
        <f t="shared" si="19"/>
        <v>12.391835238808515</v>
      </c>
      <c r="F87" s="6">
        <f t="shared" si="20"/>
        <v>0.90573924100154657</v>
      </c>
      <c r="G87" s="6">
        <f t="shared" si="21"/>
        <v>0.41557784474565312</v>
      </c>
      <c r="I87" s="6">
        <f t="shared" si="16"/>
        <v>107.11559489837346</v>
      </c>
    </row>
    <row r="88" spans="2:9" x14ac:dyDescent="0.25">
      <c r="B88" s="1">
        <v>76</v>
      </c>
      <c r="C88" s="6">
        <f t="shared" si="17"/>
        <v>21.459400958053664</v>
      </c>
      <c r="D88" s="6">
        <f t="shared" si="18"/>
        <v>66.520807160277542</v>
      </c>
      <c r="E88" s="6">
        <f t="shared" si="19"/>
        <v>11.672460521982975</v>
      </c>
      <c r="F88" s="6">
        <f t="shared" si="20"/>
        <v>0.85315903190041664</v>
      </c>
      <c r="G88" s="6">
        <f t="shared" si="21"/>
        <v>0.39145257010032775</v>
      </c>
      <c r="I88" s="6">
        <f t="shared" si="16"/>
        <v>100.89728024231492</v>
      </c>
    </row>
    <row r="89" spans="2:9" x14ac:dyDescent="0.25">
      <c r="B89" s="1">
        <v>77</v>
      </c>
      <c r="C89" s="6">
        <f t="shared" si="17"/>
        <v>20.213632088555674</v>
      </c>
      <c r="D89" s="6">
        <f t="shared" si="18"/>
        <v>62.659115730734527</v>
      </c>
      <c r="E89" s="6">
        <f t="shared" si="19"/>
        <v>10.994846920956693</v>
      </c>
      <c r="F89" s="6">
        <f t="shared" si="20"/>
        <v>0.80363120967376078</v>
      </c>
      <c r="G89" s="6">
        <f t="shared" si="21"/>
        <v>0.36872783015709054</v>
      </c>
      <c r="I89" s="6">
        <f t="shared" si="16"/>
        <v>95.039953780077738</v>
      </c>
    </row>
    <row r="90" spans="2:9" x14ac:dyDescent="0.25">
      <c r="B90" s="1">
        <v>78</v>
      </c>
      <c r="C90" s="6">
        <f t="shared" si="17"/>
        <v>19.040183329736763</v>
      </c>
      <c r="D90" s="6">
        <f t="shared" si="18"/>
        <v>59.021605077930928</v>
      </c>
      <c r="E90" s="6">
        <f t="shared" si="19"/>
        <v>10.356570213605274</v>
      </c>
      <c r="F90" s="6">
        <f t="shared" si="20"/>
        <v>0.75697857649568212</v>
      </c>
      <c r="G90" s="6">
        <f t="shared" si="21"/>
        <v>0.34732231838718569</v>
      </c>
      <c r="I90" s="6">
        <f t="shared" si="16"/>
        <v>89.522659516155841</v>
      </c>
    </row>
    <row r="91" spans="2:9" x14ac:dyDescent="0.25">
      <c r="B91" s="1">
        <v>79</v>
      </c>
      <c r="C91" s="6">
        <f t="shared" si="17"/>
        <v>17.934856215718302</v>
      </c>
      <c r="D91" s="6">
        <f t="shared" si="18"/>
        <v>55.595261051854223</v>
      </c>
      <c r="E91" s="6">
        <f t="shared" si="19"/>
        <v>9.7553468842352125</v>
      </c>
      <c r="F91" s="6">
        <f t="shared" si="20"/>
        <v>0.71303422322855547</v>
      </c>
      <c r="G91" s="6">
        <f t="shared" si="21"/>
        <v>0.32715944874146985</v>
      </c>
      <c r="I91" s="6">
        <f t="shared" si="16"/>
        <v>84.32565782377776</v>
      </c>
    </row>
    <row r="92" spans="2:9" x14ac:dyDescent="0.25">
      <c r="B92" s="1">
        <v>80</v>
      </c>
      <c r="C92" s="6">
        <f t="shared" si="17"/>
        <v>16.893696034387649</v>
      </c>
      <c r="D92" s="6">
        <f t="shared" si="18"/>
        <v>52.367824898086681</v>
      </c>
      <c r="E92" s="6">
        <f t="shared" si="19"/>
        <v>9.1890259555352465</v>
      </c>
      <c r="F92" s="6">
        <f t="shared" si="20"/>
        <v>0.6716409310423439</v>
      </c>
      <c r="G92" s="6">
        <f t="shared" si="21"/>
        <v>0.30816708164879097</v>
      </c>
      <c r="I92" s="6">
        <f t="shared" si="16"/>
        <v>79.430354900700706</v>
      </c>
    </row>
    <row r="93" spans="2:9" x14ac:dyDescent="0.25">
      <c r="B93" s="1">
        <v>81</v>
      </c>
      <c r="C93" s="6">
        <f t="shared" si="17"/>
        <v>15.912977678639445</v>
      </c>
      <c r="D93" s="6">
        <f t="shared" si="18"/>
        <v>49.327749454451414</v>
      </c>
      <c r="E93" s="6">
        <f t="shared" si="19"/>
        <v>8.6555812976909916</v>
      </c>
      <c r="F93" s="6">
        <f t="shared" si="20"/>
        <v>0.63265060812604834</v>
      </c>
      <c r="G93" s="6">
        <f t="shared" si="21"/>
        <v>0.29027726584745489</v>
      </c>
      <c r="I93" s="6">
        <f t="shared" si="16"/>
        <v>74.819236304755336</v>
      </c>
    </row>
    <row r="94" spans="2:9" x14ac:dyDescent="0.25">
      <c r="B94" s="1">
        <v>82</v>
      </c>
      <c r="C94" s="6">
        <f t="shared" si="17"/>
        <v>14.989192315197952</v>
      </c>
      <c r="D94" s="6">
        <f t="shared" si="18"/>
        <v>46.464157877095573</v>
      </c>
      <c r="E94" s="6">
        <f t="shared" si="19"/>
        <v>8.1531043853055518</v>
      </c>
      <c r="F94" s="6">
        <f t="shared" si="20"/>
        <v>0.59592375939809394</v>
      </c>
      <c r="G94" s="6">
        <f t="shared" si="21"/>
        <v>0.27342599516627997</v>
      </c>
      <c r="I94" s="6">
        <f t="shared" si="16"/>
        <v>70.475804332163449</v>
      </c>
    </row>
    <row r="95" spans="2:9" x14ac:dyDescent="0.25">
      <c r="B95" s="1">
        <v>83</v>
      </c>
      <c r="C95" s="6">
        <f t="shared" si="17"/>
        <v>14.119034825398783</v>
      </c>
      <c r="D95" s="6">
        <f t="shared" si="18"/>
        <v>43.766804750365367</v>
      </c>
      <c r="E95" s="6">
        <f t="shared" si="19"/>
        <v>7.6797974750005267</v>
      </c>
      <c r="F95" s="6">
        <f t="shared" si="20"/>
        <v>0.56132898723030566</v>
      </c>
      <c r="G95" s="6">
        <f t="shared" si="21"/>
        <v>0.25755297941280425</v>
      </c>
      <c r="I95" s="6">
        <f t="shared" si="16"/>
        <v>66.384519017407797</v>
      </c>
    </row>
    <row r="96" spans="2:9" x14ac:dyDescent="0.25">
      <c r="B96" s="1">
        <v>84</v>
      </c>
      <c r="C96" s="6">
        <f t="shared" si="17"/>
        <v>13.29939197442868</v>
      </c>
      <c r="D96" s="6">
        <f t="shared" si="18"/>
        <v>41.226039444304838</v>
      </c>
      <c r="E96" s="6">
        <f t="shared" si="19"/>
        <v>7.2339671785936144</v>
      </c>
      <c r="F96" s="6">
        <f t="shared" si="20"/>
        <v>0.52874252131607857</v>
      </c>
      <c r="G96" s="6">
        <f t="shared" si="21"/>
        <v>0.24260142856600728</v>
      </c>
      <c r="I96" s="6">
        <f t="shared" si="16"/>
        <v>62.530742547209215</v>
      </c>
    </row>
    <row r="97" spans="2:9" x14ac:dyDescent="0.25">
      <c r="B97" s="1">
        <v>85</v>
      </c>
      <c r="C97" s="6">
        <f t="shared" si="17"/>
        <v>12.527331267577202</v>
      </c>
      <c r="D97" s="6">
        <f t="shared" si="18"/>
        <v>38.832771591834891</v>
      </c>
      <c r="E97" s="6">
        <f t="shared" si="19"/>
        <v>6.814018408551247</v>
      </c>
      <c r="F97" s="6">
        <f t="shared" si="20"/>
        <v>0.49804777593084437</v>
      </c>
      <c r="G97" s="6">
        <f t="shared" si="21"/>
        <v>0.2285178495101807</v>
      </c>
      <c r="I97" s="6">
        <f t="shared" si="16"/>
        <v>58.900686893404369</v>
      </c>
    </row>
    <row r="98" spans="2:9" x14ac:dyDescent="0.25">
      <c r="B98" s="1">
        <v>86</v>
      </c>
      <c r="C98" s="6">
        <f t="shared" si="17"/>
        <v>11.800090454081957</v>
      </c>
      <c r="D98" s="6">
        <f t="shared" si="18"/>
        <v>36.578438564967328</v>
      </c>
      <c r="E98" s="6">
        <f t="shared" si="19"/>
        <v>6.4184486740099143</v>
      </c>
      <c r="F98" s="6">
        <f t="shared" si="20"/>
        <v>0.46913493294730962</v>
      </c>
      <c r="G98" s="6">
        <f t="shared" si="21"/>
        <v>0.21525185458551771</v>
      </c>
      <c r="I98" s="6">
        <f t="shared" si="16"/>
        <v>55.481364480592028</v>
      </c>
    </row>
    <row r="99" spans="2:9" x14ac:dyDescent="0.25">
      <c r="B99" s="1">
        <v>87</v>
      </c>
      <c r="C99" s="6">
        <f t="shared" si="17"/>
        <v>11.115067641159671</v>
      </c>
      <c r="D99" s="6">
        <f t="shared" si="18"/>
        <v>34.454974836038602</v>
      </c>
      <c r="E99" s="6">
        <f t="shared" si="19"/>
        <v>6.0458427070728806</v>
      </c>
      <c r="F99" s="6">
        <f t="shared" si="20"/>
        <v>0.44190054907625365</v>
      </c>
      <c r="G99" s="6">
        <f t="shared" si="21"/>
        <v>0.20275598126946973</v>
      </c>
      <c r="I99" s="6">
        <f t="shared" si="16"/>
        <v>52.26054171461687</v>
      </c>
    </row>
    <row r="100" spans="2:9" x14ac:dyDescent="0.25">
      <c r="B100" s="1">
        <v>88</v>
      </c>
      <c r="C100" s="6">
        <f t="shared" si="17"/>
        <v>10.469811982802243</v>
      </c>
      <c r="D100" s="6">
        <f t="shared" si="18"/>
        <v>32.45478311609677</v>
      </c>
      <c r="E100" s="6">
        <f t="shared" si="19"/>
        <v>5.6948674003488131</v>
      </c>
      <c r="F100" s="6">
        <f t="shared" si="20"/>
        <v>0.41624718590438975</v>
      </c>
      <c r="G100" s="6">
        <f t="shared" si="21"/>
        <v>0.1909855223406525</v>
      </c>
      <c r="I100" s="6">
        <f t="shared" si="16"/>
        <v>49.226695207492867</v>
      </c>
    </row>
    <row r="101" spans="2:9" x14ac:dyDescent="0.25">
      <c r="B101" s="1">
        <v>89</v>
      </c>
      <c r="C101" s="6">
        <f t="shared" si="17"/>
        <v>9.8620149098654437</v>
      </c>
      <c r="D101" s="6">
        <f t="shared" si="18"/>
        <v>30.570707168369424</v>
      </c>
      <c r="E101" s="6">
        <f t="shared" si="19"/>
        <v>5.3642670378340087</v>
      </c>
      <c r="F101" s="6">
        <f t="shared" si="20"/>
        <v>0.39208306139342136</v>
      </c>
      <c r="G101" s="6">
        <f t="shared" si="21"/>
        <v>0.17989836591375566</v>
      </c>
      <c r="I101" s="6">
        <f t="shared" si="16"/>
        <v>46.368970543376058</v>
      </c>
    </row>
    <row r="102" spans="2:9" x14ac:dyDescent="0.25">
      <c r="B102" s="1">
        <v>90</v>
      </c>
      <c r="C102" s="6">
        <f t="shared" si="17"/>
        <v>9.2895018698715592</v>
      </c>
      <c r="D102" s="6">
        <f t="shared" si="18"/>
        <v>28.796006200257679</v>
      </c>
      <c r="E102" s="6">
        <f t="shared" si="19"/>
        <v>5.0528588022754155</v>
      </c>
      <c r="F102" s="6">
        <f t="shared" si="20"/>
        <v>0.3693217215891596</v>
      </c>
      <c r="G102" s="6">
        <f t="shared" si="21"/>
        <v>0.16945484476922706</v>
      </c>
      <c r="I102" s="6">
        <f t="shared" si="16"/>
        <v>43.677143438763039</v>
      </c>
    </row>
    <row r="103" spans="2:9" x14ac:dyDescent="0.25">
      <c r="B103" s="1">
        <v>91</v>
      </c>
      <c r="C103" s="6">
        <f t="shared" si="17"/>
        <v>8.7502245467709638</v>
      </c>
      <c r="D103" s="6">
        <f t="shared" si="18"/>
        <v>27.124330742584043</v>
      </c>
      <c r="E103" s="6">
        <f t="shared" si="19"/>
        <v>4.759528543107832</v>
      </c>
      <c r="F103" s="6">
        <f t="shared" si="20"/>
        <v>0.34788173136703981</v>
      </c>
      <c r="G103" s="6">
        <f t="shared" si="21"/>
        <v>0.15961759443524343</v>
      </c>
      <c r="I103" s="6">
        <f t="shared" si="16"/>
        <v>41.141583158265128</v>
      </c>
    </row>
    <row r="104" spans="2:9" x14ac:dyDescent="0.25">
      <c r="B104" s="1">
        <v>92</v>
      </c>
      <c r="C104" s="6">
        <f t="shared" si="17"/>
        <v>8.2422535326498831</v>
      </c>
      <c r="D104" s="6">
        <f t="shared" si="18"/>
        <v>25.549699929887048</v>
      </c>
      <c r="E104" s="6">
        <f t="shared" si="19"/>
        <v>4.4832267899510487</v>
      </c>
      <c r="F104" s="6">
        <f t="shared" si="20"/>
        <v>0.32768638311136999</v>
      </c>
      <c r="G104" s="6">
        <f t="shared" si="21"/>
        <v>0.15035141951150138</v>
      </c>
      <c r="I104" s="6">
        <f t="shared" si="16"/>
        <v>38.75321805511085</v>
      </c>
    </row>
    <row r="105" spans="2:9" x14ac:dyDescent="0.25">
      <c r="B105" s="1">
        <v>93</v>
      </c>
      <c r="C105" s="6">
        <f t="shared" si="17"/>
        <v>7.7637714250251531</v>
      </c>
      <c r="D105" s="6">
        <f t="shared" si="18"/>
        <v>24.066480100408345</v>
      </c>
      <c r="E105" s="6">
        <f t="shared" si="19"/>
        <v>4.2229649974921912</v>
      </c>
      <c r="F105" s="6">
        <f t="shared" si="20"/>
        <v>0.30866342229102428</v>
      </c>
      <c r="G105" s="6">
        <f t="shared" si="21"/>
        <v>0.14162316775459818</v>
      </c>
      <c r="I105" s="6">
        <f t="shared" si="16"/>
        <v>36.503503112971309</v>
      </c>
    </row>
    <row r="106" spans="2:9" x14ac:dyDescent="0.25">
      <c r="B106" s="1">
        <v>94</v>
      </c>
      <c r="C106" s="6">
        <f t="shared" si="17"/>
        <v>7.3130663249280641</v>
      </c>
      <c r="D106" s="6">
        <f t="shared" si="18"/>
        <v>22.669364639054706</v>
      </c>
      <c r="E106" s="6">
        <f t="shared" si="19"/>
        <v>3.977812008372787</v>
      </c>
      <c r="F106" s="6">
        <f t="shared" si="20"/>
        <v>0.29074478895483025</v>
      </c>
      <c r="G106" s="6">
        <f t="shared" si="21"/>
        <v>0.13340161147322241</v>
      </c>
      <c r="I106" s="6">
        <f t="shared" si="16"/>
        <v>34.384389372783616</v>
      </c>
    </row>
    <row r="107" spans="2:9" x14ac:dyDescent="0.25">
      <c r="B107" s="1">
        <v>95</v>
      </c>
      <c r="C107" s="6">
        <f t="shared" si="17"/>
        <v>6.8885257124485229</v>
      </c>
      <c r="D107" s="6">
        <f t="shared" si="18"/>
        <v>21.35335499103434</v>
      </c>
      <c r="E107" s="6">
        <f t="shared" si="19"/>
        <v>3.7468907214536564</v>
      </c>
      <c r="F107" s="6">
        <f t="shared" si="20"/>
        <v>0.27386637422627724</v>
      </c>
      <c r="G107" s="6">
        <f t="shared" si="21"/>
        <v>0.12565733580808158</v>
      </c>
      <c r="I107" s="6">
        <f t="shared" si="16"/>
        <v>32.388295134970875</v>
      </c>
    </row>
    <row r="108" spans="2:9" x14ac:dyDescent="0.25">
      <c r="B108" s="1">
        <v>96</v>
      </c>
      <c r="C108" s="6">
        <f t="shared" si="17"/>
        <v>6.4886306777898133</v>
      </c>
      <c r="D108" s="6">
        <f t="shared" si="18"/>
        <v>20.113742778060431</v>
      </c>
      <c r="E108" s="6">
        <f t="shared" si="19"/>
        <v>3.5293749535467693</v>
      </c>
      <c r="F108" s="6">
        <f t="shared" si="20"/>
        <v>0.2579677909299406</v>
      </c>
      <c r="G108" s="6">
        <f t="shared" si="21"/>
        <v>0.11836263349654091</v>
      </c>
      <c r="I108" s="6">
        <f t="shared" si="16"/>
        <v>30.508078833823493</v>
      </c>
    </row>
    <row r="109" spans="2:9" x14ac:dyDescent="0.25">
      <c r="B109" s="1">
        <v>97</v>
      </c>
      <c r="C109" s="6">
        <f t="shared" si="17"/>
        <v>6.1119504871776318</v>
      </c>
      <c r="D109" s="6">
        <f t="shared" si="18"/>
        <v>18.94609295298466</v>
      </c>
      <c r="E109" s="6">
        <f t="shared" si="19"/>
        <v>3.3244864833832493</v>
      </c>
      <c r="F109" s="6">
        <f t="shared" si="20"/>
        <v>0.24299215753160813</v>
      </c>
      <c r="G109" s="6">
        <f t="shared" si="21"/>
        <v>0.11149140574542798</v>
      </c>
      <c r="I109" s="6">
        <f t="shared" si="16"/>
        <v>28.73701348682258</v>
      </c>
    </row>
    <row r="110" spans="2:9" x14ac:dyDescent="0.25">
      <c r="B110" s="1">
        <v>98</v>
      </c>
      <c r="C110" s="6">
        <f t="shared" si="17"/>
        <v>5.7571374641795376</v>
      </c>
      <c r="D110" s="6">
        <f t="shared" si="18"/>
        <v>17.846227932472488</v>
      </c>
      <c r="E110" s="6">
        <f t="shared" si="19"/>
        <v>3.1314922672320282</v>
      </c>
      <c r="F110" s="6">
        <f t="shared" si="20"/>
        <v>0.22888589462083853</v>
      </c>
      <c r="G110" s="6">
        <f t="shared" si="21"/>
        <v>0.10501906885747934</v>
      </c>
      <c r="I110" s="6">
        <f t="shared" si="16"/>
        <v>27.068762627362368</v>
      </c>
    </row>
    <row r="111" spans="2:9" x14ac:dyDescent="0.25">
      <c r="B111" s="1">
        <v>99</v>
      </c>
      <c r="C111" s="6">
        <f t="shared" si="17"/>
        <v>5.4229221681280899</v>
      </c>
      <c r="D111" s="6">
        <f t="shared" si="18"/>
        <v>16.810212650865395</v>
      </c>
      <c r="E111" s="6">
        <f t="shared" si="19"/>
        <v>2.9497018161950672</v>
      </c>
      <c r="F111" s="6">
        <f t="shared" si="20"/>
        <v>0.21559853320882044</v>
      </c>
      <c r="G111" s="6">
        <f t="shared" si="21"/>
        <v>9.8922466277571952E-2</v>
      </c>
      <c r="I111" s="6">
        <f t="shared" si="16"/>
        <v>25.497357634674941</v>
      </c>
    </row>
    <row r="112" spans="2:9" x14ac:dyDescent="0.25">
      <c r="B112" s="1">
        <v>100</v>
      </c>
      <c r="C112" s="6">
        <f t="shared" si="17"/>
        <v>5.1081088524081215</v>
      </c>
      <c r="D112" s="6">
        <f t="shared" si="18"/>
        <v>15.834340481701844</v>
      </c>
      <c r="E112" s="6">
        <f t="shared" si="19"/>
        <v>2.7784647257834294</v>
      </c>
      <c r="F112" s="6">
        <f t="shared" si="20"/>
        <v>0.20308253415612185</v>
      </c>
      <c r="G112" s="6">
        <f t="shared" si="21"/>
        <v>9.3179785744293753E-2</v>
      </c>
      <c r="I112" s="6">
        <f t="shared" si="16"/>
        <v>24.01717637979381</v>
      </c>
    </row>
  </sheetData>
  <mergeCells count="2">
    <mergeCell ref="A4:A8"/>
    <mergeCell ref="C2:G2"/>
  </mergeCells>
  <printOptions gridLines="1" gridLinesSet="0"/>
  <pageMargins left="0.75" right="0.75" top="1" bottom="1" header="0.5" footer="0.5"/>
  <pageSetup orientation="portrait" horizontalDpi="4294967292" verticalDpi="4294967292" r:id="rId1"/>
  <headerFooter>
    <oddHeader>&amp;A</oddHeader>
    <oddFooter>Page &amp;P</oddFooter>
  </headerFooter>
  <ignoredErrors>
    <ignoredError sqref="I12:I112" formulaRang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Loggerhead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PJM</dc:creator>
  <cp:lastModifiedBy>Kevin T Shoemaker</cp:lastModifiedBy>
  <dcterms:created xsi:type="dcterms:W3CDTF">2003-10-06T17:47:08Z</dcterms:created>
  <dcterms:modified xsi:type="dcterms:W3CDTF">2026-03-13T19:25:05Z</dcterms:modified>
</cp:coreProperties>
</file>